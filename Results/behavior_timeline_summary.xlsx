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Consolidated" sheetId="2" r:id="rId6"/>
    <sheet state="visible" name="Correlations" sheetId="3" r:id="rId7"/>
    <sheet state="visible" name="Graph_Straws_Want_Food" sheetId="4" r:id="rId8"/>
    <sheet state="visible" name="Graph_Rods_Fighting" sheetId="5" r:id="rId9"/>
    <sheet state="visible" name="Graph_Straws_Talking" sheetId="6" r:id="rId10"/>
    <sheet state="visible" name="Graph_Straws_Fighting_Talking" sheetId="7" r:id="rId11"/>
    <sheet state="visible" name="Graph_Rods_Total" sheetId="8" r:id="rId12"/>
    <sheet state="visible" name="Graph_Straws_Total" sheetId="9" r:id="rId13"/>
    <sheet state="visible" name="Graph_Combined_Total" sheetId="10" r:id="rId14"/>
    <sheet state="visible" name="Graph_Straws_Fighting" sheetId="11" r:id="rId15"/>
    <sheet state="visible" name="Graph_Rods_Talking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tc={e2aa8610-126e-458e-84f1-f888b57e0921}</author>
  </authors>
  <commentList>
    <comment authorId="0" xr:uid="{e2aa8610-126e-458e-84f1-f888b57e09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= 100
B = 65
C = 55
</t>
      </text>
    </comment>
  </commentList>
</comments>
</file>

<file path=xl/sharedStrings.xml><?xml version="1.0" encoding="utf-8"?>
<sst xmlns="http://schemas.openxmlformats.org/spreadsheetml/2006/main" count="276" uniqueCount="95">
  <si>
    <t>Filename</t>
  </si>
  <si>
    <t>Date</t>
  </si>
  <si>
    <t>Rods_Fighting_Total_Calls</t>
  </si>
  <si>
    <t>Rods_Fighting_Calls_Per_Hour</t>
  </si>
  <si>
    <t>Rods_Talking_Total_Calls</t>
  </si>
  <si>
    <t>Rods_Talking_Calls_Per_Hour</t>
  </si>
  <si>
    <t>Straws_Fighting_Total_Calls</t>
  </si>
  <si>
    <t>Straws_Fighting_Calls_Per_Hour</t>
  </si>
  <si>
    <t>Straws_Fighting_Talking_Total_Calls</t>
  </si>
  <si>
    <t>Straws_Fighting_Talking_Calls_Per_Hour</t>
  </si>
  <si>
    <t>Straws_Talking_Total_Calls</t>
  </si>
  <si>
    <t>Straws_Talking_Calls_Per_Hour</t>
  </si>
  <si>
    <t>Straws_Want_Food_Total_Calls</t>
  </si>
  <si>
    <t>Straws_Want_Food_Calls_Per_Hour</t>
  </si>
  <si>
    <t>Rods_Total_Vocalizations</t>
  </si>
  <si>
    <t>Rods_Total_Calls_Per_Hour</t>
  </si>
  <si>
    <t>Straws_Total_Vocalizations</t>
  </si>
  <si>
    <t>Straws_Total_Calls_Per_Hour</t>
  </si>
  <si>
    <t>Total Vocalizations</t>
  </si>
  <si>
    <t>Combined_Total_Calls_Per_Hour</t>
  </si>
  <si>
    <t>Total_Duration_Minutes</t>
  </si>
  <si>
    <t>Total_Duration_Hours</t>
  </si>
  <si>
    <t>Next-Day Food Offered</t>
  </si>
  <si>
    <t>Letter</t>
  </si>
  <si>
    <t>amount eaten</t>
  </si>
  <si>
    <t>Adjusted consumption</t>
  </si>
  <si>
    <t>BatVocals_Jan_29_2026.WAV</t>
  </si>
  <si>
    <t>B</t>
  </si>
  <si>
    <t>BatVocals_Jan_30_2026.WAV</t>
  </si>
  <si>
    <t>C</t>
  </si>
  <si>
    <t>BatVocals_Jan_30_2026_B.WAV</t>
  </si>
  <si>
    <t>BatVocals_Jan_31_2026.WAV</t>
  </si>
  <si>
    <t>BatVocals_Jan_31_2026_B.WAV</t>
  </si>
  <si>
    <t>BatVocals_Feb_01_2026.WAV</t>
  </si>
  <si>
    <t>02Feb2026B.WAV</t>
  </si>
  <si>
    <t>BatVocals_6Febam1.WAV</t>
  </si>
  <si>
    <t>A</t>
  </si>
  <si>
    <t>Feb7pm_toFeb8am.WAV</t>
  </si>
  <si>
    <t>Feb8pm_to_Feb9am.WAV</t>
  </si>
  <si>
    <t>Feb9am.WAV</t>
  </si>
  <si>
    <t>21Feb_day.WAV</t>
  </si>
  <si>
    <t>20Feb_day.WAV</t>
  </si>
  <si>
    <t>20Feb_overnight.WAV</t>
  </si>
  <si>
    <t>19Feb_overnight.WAV</t>
  </si>
  <si>
    <t>19Feb_day.WAV</t>
  </si>
  <si>
    <t>21Feb_overnight.WAV</t>
  </si>
  <si>
    <t>23Feb_day.WAV</t>
  </si>
  <si>
    <t>23Feb_overnight.WAV</t>
  </si>
  <si>
    <t>24Feb_day.WAV</t>
  </si>
  <si>
    <t>24Feb_overnight.WAV</t>
  </si>
  <si>
    <t>25Feb_day.WAV</t>
  </si>
  <si>
    <t>25Feb_overnight.WAV</t>
  </si>
  <si>
    <t>28Feb_overnight.WAV</t>
  </si>
  <si>
    <t>28Feb_day2.WAV</t>
  </si>
  <si>
    <t>28Feb_day.WAV</t>
  </si>
  <si>
    <t>27Feb_overnight.WAV</t>
  </si>
  <si>
    <t>27Feb_day.WAV</t>
  </si>
  <si>
    <t>1March_overnight.WAV</t>
  </si>
  <si>
    <t>1March_day.WAV</t>
  </si>
  <si>
    <t>4April_day (2).WAV</t>
  </si>
  <si>
    <t>4April_overnight.WAV</t>
  </si>
  <si>
    <t>5March_overnight1.WAV</t>
  </si>
  <si>
    <t>5March_overnight2.WAV</t>
  </si>
  <si>
    <t>6March_day.WAV</t>
  </si>
  <si>
    <t>6March_overnight.WAV</t>
  </si>
  <si>
    <t>7March_day.WAV</t>
  </si>
  <si>
    <t>7March_day2.WAV</t>
  </si>
  <si>
    <t>Pearson's r &amp; Spearman's ρ — Vocalization vs. Adjusted Consumption (outliers removed via IQR)</t>
  </si>
  <si>
    <t>Outliers removed where x or y fell outside Q1 − 1.5×IQR or Q3 + 1.5×IQR</t>
  </si>
  <si>
    <t>Vocalization Metric</t>
  </si>
  <si>
    <r>
      <rPr>
        <rFont val="Arial"/>
        <b/>
        <color theme="1"/>
      </rPr>
      <t xml:space="preserve">Pearson's </t>
    </r>
    <r>
      <rPr>
        <rFont val="Arial"/>
        <b/>
        <i/>
        <color theme="1"/>
      </rPr>
      <t>r</t>
    </r>
  </si>
  <si>
    <t>Spearman's ρ</t>
  </si>
  <si>
    <t>n (pairs)</t>
  </si>
  <si>
    <t>Outliers Removed</t>
  </si>
  <si>
    <t>Pearson Strength</t>
  </si>
  <si>
    <t>Spearman Strength</t>
  </si>
  <si>
    <t>Moderate positive</t>
  </si>
  <si>
    <t>Negligible</t>
  </si>
  <si>
    <t>N/A</t>
  </si>
  <si>
    <t>Insufficient data</t>
  </si>
  <si>
    <t>Trendline Equation:</t>
  </si>
  <si>
    <t>y = 6.4899x + 40.2899</t>
  </si>
  <si>
    <t>Pearson's r:</t>
  </si>
  <si>
    <t>Spearman's ρ:</t>
  </si>
  <si>
    <t>Pearson Strength:</t>
  </si>
  <si>
    <t>Spearman Strength:</t>
  </si>
  <si>
    <t>n (after outlier removal):</t>
  </si>
  <si>
    <t>Outliers removed:</t>
  </si>
  <si>
    <t>y = 45.1293x + 55.7931</t>
  </si>
  <si>
    <t>y = -1.6172x + 60.2227</t>
  </si>
  <si>
    <t>y = -6.5865x + 57.3352</t>
  </si>
  <si>
    <t>y = 13.1169x + 56.7468</t>
  </si>
  <si>
    <t>y = -0.0789x + 60.1518</t>
  </si>
  <si>
    <t>y = -0.0752x + 60.0242</t>
  </si>
  <si>
    <t>y = -0.0777x + 60.8233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</si>
</sst>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/d/yyyy"/>
    <numFmt numFmtId="166" formatCode="m/d/yy"/>
    <numFmt numFmtId="167" formatCode="m/d/yyyy"/>
  </numFmts>
  <fonts count="10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i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shrinkToFit="0" vertical="bottom" wrapText="1"/>
    </xf>
    <xf borderId="0" fillId="2" fontId="2" numFmtId="0" xfId="0" applyAlignment="1" applyFill="1" applyFont="1">
      <alignment vertical="bottom"/>
    </xf>
    <xf borderId="0" fillId="2" fontId="2" numFmtId="165" xfId="0" applyAlignment="1" applyFont="1" applyNumberFormat="1">
      <alignment horizontal="right" vertical="top"/>
    </xf>
    <xf borderId="0" fillId="2" fontId="4" numFmtId="0" xfId="0" applyAlignment="1" applyFont="1">
      <alignment horizontal="right" vertical="top"/>
    </xf>
    <xf borderId="0" fillId="2" fontId="4" numFmtId="0" xfId="0" applyAlignment="1" applyFont="1">
      <alignment horizontal="right" vertical="bottom"/>
    </xf>
    <xf borderId="0" fillId="2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2" fontId="6" numFmtId="0" xfId="0" applyAlignment="1" applyFont="1">
      <alignment readingOrder="0" shrinkToFit="0" vertical="bottom" wrapText="0"/>
    </xf>
    <xf borderId="0" fillId="2" fontId="6" numFmtId="165" xfId="0" applyAlignment="1" applyFont="1" applyNumberFormat="1">
      <alignment readingOrder="0"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0" fillId="2" fontId="6" numFmtId="166" xfId="0" applyAlignment="1" applyFont="1" applyNumberFormat="1">
      <alignment readingOrder="0" shrinkToFit="0" vertical="bottom" wrapText="0"/>
    </xf>
    <xf borderId="0" fillId="2" fontId="6" numFmtId="164" xfId="0" applyAlignment="1" applyFont="1" applyNumberFormat="1">
      <alignment horizontal="right" readingOrder="0" shrinkToFit="0" vertical="bottom" wrapText="0"/>
    </xf>
    <xf borderId="0" fillId="2" fontId="6" numFmtId="167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readingOrder="0"/>
    </xf>
    <xf borderId="0" fillId="0" fontId="3" numFmtId="164" xfId="0" applyFont="1" applyNumberFormat="1"/>
    <xf borderId="0" fillId="0" fontId="7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Font="1"/>
    <xf borderId="0" fillId="3" fontId="7" numFmtId="0" xfId="0" applyAlignment="1" applyFill="1" applyFont="1">
      <alignment readingOrder="0"/>
    </xf>
  </cellXfs>
  <cellStyles count="1">
    <cellStyle xfId="0" name="Normal" builtinId="0"/>
  </cellStyles>
  <dxfs count="4"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276221"/>
      </font>
      <fill>
        <patternFill patternType="solid">
          <fgColor rgb="FFEBF5EB"/>
          <bgColor rgb="FFEBF5EB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Straws Want Food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(r=0.5424, ρ=0.4859)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Graph_Straws_Want_Food!$A$1:$A$17</c:f>
            </c:numRef>
          </c:xVal>
          <c:yVal>
            <c:numRef>
              <c:f>Graph_Straws_Want_Food!$B$1:$B$17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4809"/>
        <c:axId val="1788269125"/>
      </c:scatterChart>
      <c:valAx>
        <c:axId val="716874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Straws Want Food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269125"/>
      </c:valAx>
      <c:valAx>
        <c:axId val="1788269125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874809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Rods Fighting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(r=0.1366, ρ=0.1579)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Graph_Rods_Fighting!$A$1:$A$16</c:f>
            </c:numRef>
          </c:xVal>
          <c:yVal>
            <c:numRef>
              <c:f>Graph_Rods_Fighting!$B$1:$B$16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8657"/>
        <c:axId val="1835106739"/>
      </c:scatterChart>
      <c:valAx>
        <c:axId val="19798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Rods Fighting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106739"/>
      </c:valAx>
      <c:valAx>
        <c:axId val="1835106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8657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Straws Talking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(r=-0.1001, ρ=-0.1818)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Graph_Straws_Talking!$A$1:$A$16</c:f>
            </c:numRef>
          </c:xVal>
          <c:yVal>
            <c:numRef>
              <c:f>Graph_Straws_Talking!$B$1:$B$16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718960"/>
        <c:axId val="1617791682"/>
      </c:scatterChart>
      <c:valAx>
        <c:axId val="16787189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Straws Talking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791682"/>
      </c:valAx>
      <c:valAx>
        <c:axId val="1617791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718960"/>
      </c:valAx>
    </c:plotArea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Straws Fighting Talking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(r=-0.0694, ρ=-0.1378)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Graph_Straws_Fighting_Talking!$A$1:$A$16</c:f>
            </c:numRef>
          </c:xVal>
          <c:yVal>
            <c:numRef>
              <c:f>Graph_Straws_Fighting_Talking!$B$1:$B$16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092767"/>
        <c:axId val="463075817"/>
      </c:scatterChart>
      <c:valAx>
        <c:axId val="21020927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Straws Fighting Talking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075817"/>
      </c:valAx>
      <c:valAx>
        <c:axId val="463075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092767"/>
      </c:valAx>
    </c:plotArea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Rods Total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(r=0.0541, ρ=0.0766)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Graph_Rods_Total!$A$1:$A$17</c:f>
            </c:numRef>
          </c:xVal>
          <c:yVal>
            <c:numRef>
              <c:f>Graph_Rods_Total!$B$1:$B$17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456519"/>
        <c:axId val="1441552349"/>
      </c:scatterChart>
      <c:valAx>
        <c:axId val="16034565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Rods Total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552349"/>
      </c:valAx>
      <c:valAx>
        <c:axId val="1441552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456519"/>
      </c:valAx>
    </c:plotArea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Straws Total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(r=-0.0487, ρ=0.1021)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Graph_Straws_Total!$A$1:$A$16</c:f>
            </c:numRef>
          </c:xVal>
          <c:yVal>
            <c:numRef>
              <c:f>Graph_Straws_Total!$B$1:$B$16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74640"/>
        <c:axId val="1713265902"/>
      </c:scatterChart>
      <c:valAx>
        <c:axId val="5240746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Straws Total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265902"/>
      </c:valAx>
      <c:valAx>
        <c:axId val="1713265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074640"/>
      </c:valAx>
    </c:plotArea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Combined Total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(r=-0.0465, ρ=0.0931)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Graph_Combined_Total!$A$1:$A$16</c:f>
            </c:numRef>
          </c:xVal>
          <c:yVal>
            <c:numRef>
              <c:f>Graph_Combined_Total!$B$1:$B$16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066562"/>
        <c:axId val="2039807386"/>
      </c:scatterChart>
      <c:valAx>
        <c:axId val="20800665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Combined Total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807386"/>
      </c:valAx>
      <c:valAx>
        <c:axId val="2039807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066562"/>
      </c:valAx>
    </c:plotArea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Straws Fighting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(r=-0.0345, ρ=0.0882)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Graph_Straws_Fighting!$A$1:$A$15</c:f>
            </c:numRef>
          </c:xVal>
          <c:yVal>
            <c:numRef>
              <c:f>Graph_Straws_Fighting!$B$1:$B$15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467632"/>
        <c:axId val="316774152"/>
      </c:scatterChart>
      <c:valAx>
        <c:axId val="6024676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Straws Fighting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774152"/>
      </c:valAx>
      <c:valAx>
        <c:axId val="316774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467632"/>
      </c:valAx>
    </c:plotArea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757575"/>
                </a:solidFill>
                <a:latin typeface="+mn-lt"/>
              </a:defRPr>
            </a:pPr>
            <a:r>
              <a:rPr b="1" sz="1300">
                <a:solidFill>
                  <a:srgbClr val="757575"/>
                </a:solidFill>
                <a:latin typeface="+mn-lt"/>
              </a:rPr>
              <a:t>Rods Talking vs. Adjusted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trendline>
            <c:name>Trendline (r=N/A, ρ=N/A)</c:name>
            <c:spPr>
              <a:ln w="19050">
                <a:solidFill>
                  <a:srgbClr val="E06C75"/>
                </a:solidFill>
              </a:ln>
            </c:spPr>
            <c:trendlineType val="linear"/>
            <c:dispRSqr val="0"/>
            <c:dispEq val="0"/>
          </c:trendline>
          <c:xVal>
            <c:numRef>
              <c:f>Graph_Rods_Talking!$A$1:$A$15</c:f>
            </c:numRef>
          </c:xVal>
          <c:yVal>
            <c:numRef>
              <c:f>Graph_Rods_Talking!$B$1:$B$15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884918"/>
        <c:axId val="2088098324"/>
      </c:scatterChart>
      <c:valAx>
        <c:axId val="12188849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Rods Talking Calls Per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098324"/>
      </c:valAx>
      <c:valAx>
        <c:axId val="2088098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Adjusted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884918"/>
      </c:valAx>
    </c:plotArea>
  </c:chart>
</c:chartSpace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62500" cy="36195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mily Liu" id="{5666cdb3-145a-499c-84b2-b0b7ac13ede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4T02:38:10.00" personId="{5666cdb3-145a-499c-84b2-b0b7ac13ede2}" id="{e2aa8610-126e-458e-84f1-f888b57e0921}" done="0">
    <x18tc:text xml:space="preserve">A = 100
B = 65
C = 55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3.5"/>
    <col customWidth="1" min="2" max="2" width="9.13"/>
    <col customWidth="1" min="3" max="3" width="24.5"/>
    <col customWidth="1" min="4" max="4" width="28.5"/>
    <col customWidth="1" min="5" max="5" width="23.5"/>
    <col customWidth="1" min="6" max="6" width="27.5"/>
    <col customWidth="1" min="7" max="7" width="25.88"/>
    <col customWidth="1" min="8" max="8" width="29.88"/>
    <col customWidth="1" min="9" max="9" width="33.25"/>
    <col customWidth="1" min="10" max="10" width="37.25"/>
    <col customWidth="1" min="11" max="11" width="25.0"/>
    <col customWidth="1" min="12" max="12" width="29.0"/>
    <col customWidth="1" min="13" max="13" width="28.63"/>
    <col customWidth="1" min="14" max="14" width="32.63"/>
    <col customWidth="1" min="15" max="15" width="23.38"/>
    <col customWidth="1" min="16" max="16" width="25.5"/>
    <col customWidth="1" min="17" max="17" width="24.88"/>
    <col customWidth="1" min="18" max="18" width="26.88"/>
    <col customWidth="1" min="19" max="19" width="17.38"/>
    <col customWidth="1" min="20" max="20" width="29.88"/>
    <col customWidth="1" min="21" max="21" width="21.75"/>
    <col customWidth="1" min="22" max="22" width="20.13"/>
    <col customWidth="1" min="23" max="23" width="21.0"/>
    <col customWidth="1" min="24" max="24" width="6.13"/>
    <col customWidth="1" min="25" max="25" width="12.88"/>
    <col customWidth="1" min="26" max="26" width="20.88"/>
    <col customWidth="1" min="27" max="27" width="7.63"/>
    <col customWidth="1" min="28" max="28" width="17.25"/>
    <col customWidth="1" min="29" max="33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3" t="s">
        <v>19</v>
      </c>
      <c r="U1" s="1" t="s">
        <v>20</v>
      </c>
      <c r="V1" s="1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>
      <c r="A2" s="6" t="s">
        <v>26</v>
      </c>
      <c r="B2" s="7">
        <v>46051.0</v>
      </c>
      <c r="C2" s="8">
        <v>0.0</v>
      </c>
      <c r="D2" s="8">
        <v>0.0</v>
      </c>
      <c r="E2" s="8">
        <v>0.0</v>
      </c>
      <c r="F2" s="8">
        <v>0.0</v>
      </c>
      <c r="G2" s="8">
        <v>282.0</v>
      </c>
      <c r="H2" s="8">
        <v>30.3</v>
      </c>
      <c r="I2" s="8">
        <v>2.0</v>
      </c>
      <c r="J2" s="8">
        <v>0.2</v>
      </c>
      <c r="K2" s="8">
        <v>10.0</v>
      </c>
      <c r="L2" s="8">
        <v>1.1</v>
      </c>
      <c r="M2" s="8">
        <v>2.0</v>
      </c>
      <c r="N2" s="8">
        <v>0.2</v>
      </c>
      <c r="O2" s="8">
        <f t="shared" ref="O2:O11" si="1">C2+E2</f>
        <v>0</v>
      </c>
      <c r="P2" s="9">
        <f t="shared" ref="P2:P12" si="2">O2/V2</f>
        <v>0</v>
      </c>
      <c r="Q2" s="8">
        <f t="shared" ref="Q2:Q11" si="3">G2+I2+K2+M2</f>
        <v>296</v>
      </c>
      <c r="R2" s="9">
        <f t="shared" ref="R2:R12" si="4">Q2/V2</f>
        <v>31.82795699</v>
      </c>
      <c r="S2" s="8">
        <v>296.0</v>
      </c>
      <c r="T2" s="9">
        <f t="shared" ref="T2:T12" si="5">S2/V2</f>
        <v>31.82795699</v>
      </c>
      <c r="U2" s="8">
        <v>559.2</v>
      </c>
      <c r="V2" s="8">
        <v>9.3</v>
      </c>
      <c r="W2" s="8">
        <v>65.0</v>
      </c>
      <c r="X2" s="6" t="s">
        <v>27</v>
      </c>
      <c r="Y2" s="8">
        <v>0.4</v>
      </c>
      <c r="Z2" s="8">
        <f>0.4*W2</f>
        <v>26</v>
      </c>
    </row>
    <row r="3">
      <c r="A3" s="6" t="s">
        <v>28</v>
      </c>
      <c r="B3" s="7">
        <v>46052.0</v>
      </c>
      <c r="C3" s="8">
        <v>0.0</v>
      </c>
      <c r="D3" s="8">
        <v>0.0</v>
      </c>
      <c r="E3" s="8">
        <v>0.0</v>
      </c>
      <c r="F3" s="8">
        <v>0.0</v>
      </c>
      <c r="G3" s="8">
        <v>23.0</v>
      </c>
      <c r="H3" s="8">
        <v>3.0</v>
      </c>
      <c r="I3" s="8">
        <v>1.0</v>
      </c>
      <c r="J3" s="8">
        <v>0.1</v>
      </c>
      <c r="K3" s="8">
        <v>0.0</v>
      </c>
      <c r="L3" s="8">
        <v>0.0</v>
      </c>
      <c r="M3" s="8">
        <v>0.0</v>
      </c>
      <c r="N3" s="8">
        <v>0.0</v>
      </c>
      <c r="O3" s="8">
        <f t="shared" si="1"/>
        <v>0</v>
      </c>
      <c r="P3" s="9">
        <f t="shared" si="2"/>
        <v>0</v>
      </c>
      <c r="Q3" s="8">
        <f t="shared" si="3"/>
        <v>24</v>
      </c>
      <c r="R3" s="9">
        <f t="shared" si="4"/>
        <v>3.157894737</v>
      </c>
      <c r="S3" s="8">
        <v>24.0</v>
      </c>
      <c r="T3" s="9">
        <f t="shared" si="5"/>
        <v>3.157894737</v>
      </c>
      <c r="U3" s="8">
        <v>456.9</v>
      </c>
      <c r="V3" s="8">
        <v>7.6</v>
      </c>
      <c r="W3" s="8">
        <v>55.0</v>
      </c>
      <c r="X3" s="6" t="s">
        <v>29</v>
      </c>
      <c r="Y3" s="8">
        <v>0.5</v>
      </c>
      <c r="Z3" s="8">
        <f>0.5*W3</f>
        <v>27.5</v>
      </c>
    </row>
    <row r="4">
      <c r="A4" s="6" t="s">
        <v>30</v>
      </c>
      <c r="B4" s="7">
        <v>46052.0</v>
      </c>
      <c r="C4" s="8">
        <v>0.0</v>
      </c>
      <c r="D4" s="8">
        <v>0.0</v>
      </c>
      <c r="E4" s="8">
        <v>0.0</v>
      </c>
      <c r="F4" s="8">
        <v>0.0</v>
      </c>
      <c r="G4" s="8">
        <v>232.0</v>
      </c>
      <c r="H4" s="8">
        <v>24.9</v>
      </c>
      <c r="I4" s="8">
        <v>1.0</v>
      </c>
      <c r="J4" s="8">
        <v>0.1</v>
      </c>
      <c r="K4" s="8">
        <v>7.0</v>
      </c>
      <c r="L4" s="8">
        <v>0.8</v>
      </c>
      <c r="M4" s="8">
        <v>8.0</v>
      </c>
      <c r="N4" s="8">
        <v>0.9</v>
      </c>
      <c r="O4" s="8">
        <f t="shared" si="1"/>
        <v>0</v>
      </c>
      <c r="P4" s="9">
        <f t="shared" si="2"/>
        <v>0</v>
      </c>
      <c r="Q4" s="8">
        <f t="shared" si="3"/>
        <v>248</v>
      </c>
      <c r="R4" s="9">
        <f t="shared" si="4"/>
        <v>26.66666667</v>
      </c>
      <c r="S4" s="8">
        <v>248.0</v>
      </c>
      <c r="T4" s="9">
        <f t="shared" si="5"/>
        <v>26.66666667</v>
      </c>
      <c r="U4" s="8">
        <v>559.2</v>
      </c>
      <c r="V4" s="8">
        <v>9.3</v>
      </c>
      <c r="W4" s="8">
        <v>55.0</v>
      </c>
      <c r="X4" s="6" t="s">
        <v>29</v>
      </c>
      <c r="Y4" s="8">
        <v>0.5</v>
      </c>
      <c r="Z4" s="8">
        <f t="shared" ref="Z4:Z120" si="6">Y4*W4</f>
        <v>27.5</v>
      </c>
    </row>
    <row r="5">
      <c r="A5" s="6" t="s">
        <v>31</v>
      </c>
      <c r="B5" s="7">
        <v>46053.0</v>
      </c>
      <c r="C5" s="8">
        <v>0.0</v>
      </c>
      <c r="D5" s="8">
        <v>0.0</v>
      </c>
      <c r="E5" s="8">
        <v>0.0</v>
      </c>
      <c r="F5" s="8">
        <v>0.0</v>
      </c>
      <c r="G5" s="8">
        <v>31.0</v>
      </c>
      <c r="H5" s="8">
        <v>3.5</v>
      </c>
      <c r="I5" s="8">
        <v>1.0</v>
      </c>
      <c r="J5" s="8">
        <v>0.1</v>
      </c>
      <c r="K5" s="8">
        <v>4.0</v>
      </c>
      <c r="L5" s="8">
        <v>0.5</v>
      </c>
      <c r="M5" s="8">
        <v>27.0</v>
      </c>
      <c r="N5" s="8">
        <v>3.1</v>
      </c>
      <c r="O5" s="8">
        <f t="shared" si="1"/>
        <v>0</v>
      </c>
      <c r="P5" s="9">
        <f t="shared" si="2"/>
        <v>0</v>
      </c>
      <c r="Q5" s="8">
        <f t="shared" si="3"/>
        <v>63</v>
      </c>
      <c r="R5" s="9">
        <f t="shared" si="4"/>
        <v>7.24137931</v>
      </c>
      <c r="S5" s="8">
        <v>63.0</v>
      </c>
      <c r="T5" s="9">
        <f t="shared" si="5"/>
        <v>7.24137931</v>
      </c>
      <c r="U5" s="8">
        <v>524.9</v>
      </c>
      <c r="V5" s="8">
        <v>8.7</v>
      </c>
      <c r="W5" s="8">
        <v>55.0</v>
      </c>
      <c r="X5" s="6" t="s">
        <v>29</v>
      </c>
      <c r="Y5" s="8">
        <v>1.0</v>
      </c>
      <c r="Z5" s="8">
        <f t="shared" si="6"/>
        <v>55</v>
      </c>
    </row>
    <row r="6">
      <c r="A6" s="6" t="s">
        <v>32</v>
      </c>
      <c r="B6" s="7">
        <v>46053.0</v>
      </c>
      <c r="C6" s="10">
        <v>0.0</v>
      </c>
      <c r="D6" s="10">
        <v>0.0</v>
      </c>
      <c r="E6" s="10">
        <v>0.0</v>
      </c>
      <c r="F6" s="10">
        <v>0.0</v>
      </c>
      <c r="G6" s="10">
        <v>231.0</v>
      </c>
      <c r="H6" s="10">
        <v>24.8</v>
      </c>
      <c r="I6" s="10">
        <v>1.0</v>
      </c>
      <c r="J6" s="10">
        <v>0.1</v>
      </c>
      <c r="K6" s="10">
        <v>17.0</v>
      </c>
      <c r="L6" s="10">
        <v>1.8</v>
      </c>
      <c r="M6" s="10">
        <v>5.0</v>
      </c>
      <c r="N6" s="10">
        <v>0.5</v>
      </c>
      <c r="O6" s="8">
        <f t="shared" si="1"/>
        <v>0</v>
      </c>
      <c r="P6" s="9">
        <f t="shared" si="2"/>
        <v>0</v>
      </c>
      <c r="Q6" s="8">
        <f t="shared" si="3"/>
        <v>254</v>
      </c>
      <c r="R6" s="9">
        <f t="shared" si="4"/>
        <v>27.31182796</v>
      </c>
      <c r="S6" s="10">
        <v>254.0</v>
      </c>
      <c r="T6" s="9">
        <f t="shared" si="5"/>
        <v>27.31182796</v>
      </c>
      <c r="U6" s="10">
        <v>559.2</v>
      </c>
      <c r="V6" s="8">
        <v>9.3</v>
      </c>
      <c r="W6" s="10">
        <v>55.0</v>
      </c>
      <c r="X6" s="6" t="s">
        <v>29</v>
      </c>
      <c r="Y6" s="8">
        <v>1.0</v>
      </c>
      <c r="Z6" s="8">
        <f t="shared" si="6"/>
        <v>55</v>
      </c>
    </row>
    <row r="7">
      <c r="A7" s="6" t="s">
        <v>33</v>
      </c>
      <c r="B7" s="7">
        <v>46054.0</v>
      </c>
      <c r="C7" s="8">
        <v>0.0</v>
      </c>
      <c r="D7" s="8">
        <v>0.0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f t="shared" si="1"/>
        <v>0</v>
      </c>
      <c r="P7" s="9">
        <f t="shared" si="2"/>
        <v>0</v>
      </c>
      <c r="Q7" s="8">
        <f t="shared" si="3"/>
        <v>0</v>
      </c>
      <c r="R7" s="9">
        <f t="shared" si="4"/>
        <v>0</v>
      </c>
      <c r="S7" s="8">
        <v>0.0</v>
      </c>
      <c r="T7" s="9">
        <f t="shared" si="5"/>
        <v>0</v>
      </c>
      <c r="U7" s="8">
        <v>296.9</v>
      </c>
      <c r="V7" s="8">
        <v>4.9</v>
      </c>
      <c r="W7" s="8">
        <v>65.0</v>
      </c>
      <c r="X7" s="6" t="s">
        <v>27</v>
      </c>
      <c r="Y7" s="8">
        <v>1.0</v>
      </c>
      <c r="Z7" s="8">
        <f t="shared" si="6"/>
        <v>65</v>
      </c>
      <c r="AB7" s="11"/>
    </row>
    <row r="8">
      <c r="A8" s="6" t="s">
        <v>34</v>
      </c>
      <c r="B8" s="7">
        <v>46055.0</v>
      </c>
      <c r="C8" s="12">
        <v>3.0</v>
      </c>
      <c r="D8" s="8">
        <v>0.6</v>
      </c>
      <c r="E8" s="8">
        <v>1.0</v>
      </c>
      <c r="F8" s="8">
        <v>0.2</v>
      </c>
      <c r="G8" s="8">
        <v>440.0</v>
      </c>
      <c r="H8" s="8">
        <v>92.3</v>
      </c>
      <c r="I8" s="8">
        <v>21.0</v>
      </c>
      <c r="J8" s="8">
        <v>4.4</v>
      </c>
      <c r="K8" s="8">
        <v>89.0</v>
      </c>
      <c r="L8" s="8">
        <v>18.7</v>
      </c>
      <c r="M8" s="8">
        <v>155.0</v>
      </c>
      <c r="N8" s="8">
        <v>32.5</v>
      </c>
      <c r="O8" s="8">
        <f t="shared" si="1"/>
        <v>4</v>
      </c>
      <c r="P8" s="9">
        <f t="shared" si="2"/>
        <v>0.8333333333</v>
      </c>
      <c r="Q8" s="8">
        <f t="shared" si="3"/>
        <v>705</v>
      </c>
      <c r="R8" s="9">
        <f t="shared" si="4"/>
        <v>146.875</v>
      </c>
      <c r="S8" s="8">
        <v>709.0</v>
      </c>
      <c r="T8" s="9">
        <f t="shared" si="5"/>
        <v>147.7083333</v>
      </c>
      <c r="U8" s="8">
        <v>286.1</v>
      </c>
      <c r="V8" s="8">
        <v>4.8</v>
      </c>
      <c r="W8" s="8">
        <v>65.0</v>
      </c>
      <c r="X8" s="6" t="s">
        <v>27</v>
      </c>
      <c r="Y8" s="8">
        <v>1.0</v>
      </c>
      <c r="Z8" s="8">
        <f t="shared" si="6"/>
        <v>65</v>
      </c>
    </row>
    <row r="9">
      <c r="A9" s="13" t="s">
        <v>35</v>
      </c>
      <c r="B9" s="14">
        <v>46059.0</v>
      </c>
      <c r="C9" s="15">
        <v>1.0</v>
      </c>
      <c r="D9" s="15">
        <v>0.1</v>
      </c>
      <c r="E9" s="15">
        <v>0.0</v>
      </c>
      <c r="F9" s="15">
        <v>0.0</v>
      </c>
      <c r="G9" s="15">
        <v>20.0</v>
      </c>
      <c r="H9" s="15">
        <v>2.1</v>
      </c>
      <c r="I9" s="15">
        <v>0.0</v>
      </c>
      <c r="J9" s="15">
        <v>0.0</v>
      </c>
      <c r="K9" s="15">
        <v>0.0</v>
      </c>
      <c r="L9" s="15">
        <v>0.0</v>
      </c>
      <c r="M9" s="15">
        <v>38.0</v>
      </c>
      <c r="N9" s="15">
        <v>4.1</v>
      </c>
      <c r="O9" s="8">
        <f t="shared" si="1"/>
        <v>1</v>
      </c>
      <c r="P9" s="9">
        <f t="shared" si="2"/>
        <v>0.1075268817</v>
      </c>
      <c r="Q9" s="8">
        <f t="shared" si="3"/>
        <v>58</v>
      </c>
      <c r="R9" s="9">
        <f t="shared" si="4"/>
        <v>6.23655914</v>
      </c>
      <c r="S9" s="8">
        <v>59.0</v>
      </c>
      <c r="T9" s="9">
        <f t="shared" si="5"/>
        <v>6.344086022</v>
      </c>
      <c r="U9" s="16">
        <v>559.2</v>
      </c>
      <c r="V9" s="16">
        <v>9.3</v>
      </c>
      <c r="W9" s="8">
        <v>100.0</v>
      </c>
      <c r="X9" s="6" t="s">
        <v>36</v>
      </c>
      <c r="Y9" s="8">
        <v>0.9</v>
      </c>
      <c r="Z9" s="8">
        <f t="shared" si="6"/>
        <v>90</v>
      </c>
    </row>
    <row r="10">
      <c r="A10" s="17" t="s">
        <v>37</v>
      </c>
      <c r="B10" s="7">
        <v>46060.0</v>
      </c>
      <c r="C10" s="8">
        <v>0.0</v>
      </c>
      <c r="D10" s="8">
        <v>0.0</v>
      </c>
      <c r="E10" s="8">
        <v>0.0</v>
      </c>
      <c r="F10" s="8">
        <v>0.0</v>
      </c>
      <c r="G10" s="8">
        <v>233.0</v>
      </c>
      <c r="H10" s="8">
        <v>25.0</v>
      </c>
      <c r="I10" s="8">
        <v>0.0</v>
      </c>
      <c r="J10" s="8">
        <v>0.0</v>
      </c>
      <c r="K10" s="8">
        <v>0.0</v>
      </c>
      <c r="L10" s="8">
        <v>0.0</v>
      </c>
      <c r="M10" s="8">
        <v>67.0</v>
      </c>
      <c r="N10" s="8">
        <v>7.2</v>
      </c>
      <c r="O10" s="8">
        <f t="shared" si="1"/>
        <v>0</v>
      </c>
      <c r="P10" s="9">
        <f t="shared" si="2"/>
        <v>0</v>
      </c>
      <c r="Q10" s="8">
        <f t="shared" si="3"/>
        <v>300</v>
      </c>
      <c r="R10" s="9">
        <f t="shared" si="4"/>
        <v>32.25806452</v>
      </c>
      <c r="S10" s="8">
        <v>300.0</v>
      </c>
      <c r="T10" s="9">
        <f t="shared" si="5"/>
        <v>32.25806452</v>
      </c>
      <c r="U10" s="8">
        <v>559.2</v>
      </c>
      <c r="V10" s="8">
        <v>9.3</v>
      </c>
      <c r="W10" s="8">
        <v>100.0</v>
      </c>
      <c r="X10" s="6" t="s">
        <v>36</v>
      </c>
      <c r="Y10" s="18">
        <v>0.9</v>
      </c>
      <c r="Z10" s="8">
        <f t="shared" si="6"/>
        <v>90</v>
      </c>
    </row>
    <row r="11">
      <c r="A11" s="6" t="s">
        <v>38</v>
      </c>
      <c r="B11" s="7">
        <v>46061.0</v>
      </c>
      <c r="C11" s="8">
        <v>0.0</v>
      </c>
      <c r="D11" s="8">
        <v>0.0</v>
      </c>
      <c r="E11" s="8">
        <v>0.0</v>
      </c>
      <c r="F11" s="8">
        <v>0.0</v>
      </c>
      <c r="G11" s="8">
        <v>117.0</v>
      </c>
      <c r="H11" s="8">
        <v>12.6</v>
      </c>
      <c r="I11" s="8">
        <v>2.0</v>
      </c>
      <c r="J11" s="8">
        <v>0.2</v>
      </c>
      <c r="K11" s="8">
        <v>3.0</v>
      </c>
      <c r="L11" s="8">
        <v>0.3</v>
      </c>
      <c r="M11" s="8">
        <v>1.0</v>
      </c>
      <c r="N11" s="8">
        <v>0.1</v>
      </c>
      <c r="O11" s="8">
        <f t="shared" si="1"/>
        <v>0</v>
      </c>
      <c r="P11" s="9">
        <f t="shared" si="2"/>
        <v>0</v>
      </c>
      <c r="Q11" s="8">
        <f t="shared" si="3"/>
        <v>123</v>
      </c>
      <c r="R11" s="9">
        <f t="shared" si="4"/>
        <v>13.22580645</v>
      </c>
      <c r="S11" s="8">
        <v>123.0</v>
      </c>
      <c r="T11" s="9">
        <f t="shared" si="5"/>
        <v>13.22580645</v>
      </c>
      <c r="U11" s="8">
        <v>559.2</v>
      </c>
      <c r="V11" s="8">
        <v>9.3</v>
      </c>
      <c r="W11" s="18">
        <v>65.0</v>
      </c>
      <c r="X11" s="18" t="s">
        <v>27</v>
      </c>
      <c r="Y11" s="19">
        <v>0.8</v>
      </c>
      <c r="Z11" s="8">
        <f t="shared" si="6"/>
        <v>52</v>
      </c>
    </row>
    <row r="12">
      <c r="A12" s="20" t="s">
        <v>39</v>
      </c>
      <c r="B12" s="21">
        <v>46061.0</v>
      </c>
      <c r="C12" s="22">
        <v>6.0</v>
      </c>
      <c r="D12" s="22">
        <v>0.6</v>
      </c>
      <c r="E12" s="22">
        <v>0.0</v>
      </c>
      <c r="F12" s="22">
        <v>0.0</v>
      </c>
      <c r="G12" s="22">
        <v>429.0</v>
      </c>
      <c r="H12" s="22">
        <v>46.0</v>
      </c>
      <c r="I12" s="22">
        <v>1.0</v>
      </c>
      <c r="J12" s="22">
        <v>0.1</v>
      </c>
      <c r="K12" s="22">
        <v>41.0</v>
      </c>
      <c r="L12" s="22">
        <v>4.4</v>
      </c>
      <c r="M12" s="22">
        <v>95.0</v>
      </c>
      <c r="N12" s="22">
        <v>10.2</v>
      </c>
      <c r="O12" s="22">
        <v>6.0</v>
      </c>
      <c r="P12" s="9">
        <f t="shared" si="2"/>
        <v>0.6451612903</v>
      </c>
      <c r="Q12" s="22">
        <v>566.0</v>
      </c>
      <c r="R12" s="9">
        <f t="shared" si="4"/>
        <v>60.86021505</v>
      </c>
      <c r="S12" s="22">
        <v>572.0</v>
      </c>
      <c r="T12" s="9">
        <f t="shared" si="5"/>
        <v>61.50537634</v>
      </c>
      <c r="U12" s="22">
        <v>559.2</v>
      </c>
      <c r="V12" s="22">
        <v>9.3</v>
      </c>
      <c r="W12" s="22">
        <v>65.0</v>
      </c>
      <c r="X12" s="22" t="s">
        <v>27</v>
      </c>
      <c r="Y12" s="11">
        <v>0.8</v>
      </c>
      <c r="Z12" s="8">
        <f t="shared" si="6"/>
        <v>52</v>
      </c>
    </row>
    <row r="13">
      <c r="A13" s="20" t="s">
        <v>40</v>
      </c>
      <c r="B13" s="23">
        <v>46074.0</v>
      </c>
      <c r="C13" s="22">
        <v>0.0</v>
      </c>
      <c r="D13" s="22">
        <v>0.0</v>
      </c>
      <c r="E13" s="22">
        <v>0.0</v>
      </c>
      <c r="F13" s="22">
        <v>0.0</v>
      </c>
      <c r="G13" s="22">
        <v>483.0</v>
      </c>
      <c r="H13" s="22">
        <v>51.8</v>
      </c>
      <c r="I13" s="22">
        <v>2.0</v>
      </c>
      <c r="J13" s="22">
        <v>0.2</v>
      </c>
      <c r="K13" s="22">
        <v>42.0</v>
      </c>
      <c r="L13" s="22">
        <v>4.5</v>
      </c>
      <c r="M13" s="22">
        <v>28.0</v>
      </c>
      <c r="N13" s="22">
        <v>3.0</v>
      </c>
      <c r="O13" s="22">
        <v>0.0</v>
      </c>
      <c r="P13" s="22">
        <v>0.0</v>
      </c>
      <c r="Q13" s="22">
        <v>555.0</v>
      </c>
      <c r="R13" s="22">
        <v>59.5</v>
      </c>
      <c r="S13" s="22">
        <v>555.0</v>
      </c>
      <c r="T13" s="24">
        <v>59.5</v>
      </c>
      <c r="U13" s="22">
        <v>559.2</v>
      </c>
      <c r="V13" s="22">
        <v>9.3</v>
      </c>
      <c r="W13" s="11">
        <v>65.0</v>
      </c>
      <c r="X13" s="11" t="s">
        <v>27</v>
      </c>
      <c r="Y13" s="11">
        <v>0.7</v>
      </c>
      <c r="Z13" s="8">
        <f t="shared" si="6"/>
        <v>45.5</v>
      </c>
    </row>
    <row r="14">
      <c r="A14" s="20" t="s">
        <v>41</v>
      </c>
      <c r="B14" s="23">
        <v>46073.0</v>
      </c>
      <c r="C14" s="22">
        <v>1.0</v>
      </c>
      <c r="D14" s="22">
        <v>0.1</v>
      </c>
      <c r="E14" s="22">
        <v>0.0</v>
      </c>
      <c r="F14" s="22">
        <v>0.0</v>
      </c>
      <c r="G14" s="22">
        <v>576.0</v>
      </c>
      <c r="H14" s="22">
        <v>61.8</v>
      </c>
      <c r="I14" s="22">
        <v>9.0</v>
      </c>
      <c r="J14" s="22">
        <v>1.0</v>
      </c>
      <c r="K14" s="22">
        <v>62.0</v>
      </c>
      <c r="L14" s="22">
        <v>6.7</v>
      </c>
      <c r="M14" s="22">
        <v>48.0</v>
      </c>
      <c r="N14" s="22">
        <v>5.2</v>
      </c>
      <c r="O14" s="22">
        <v>1.0</v>
      </c>
      <c r="P14" s="22">
        <v>0.1</v>
      </c>
      <c r="Q14" s="22">
        <v>695.0</v>
      </c>
      <c r="R14" s="24">
        <v>74.6</v>
      </c>
      <c r="S14" s="22">
        <v>696.0</v>
      </c>
      <c r="T14" s="24">
        <v>74.7</v>
      </c>
      <c r="U14" s="22">
        <v>559.2</v>
      </c>
      <c r="V14" s="22">
        <v>9.3</v>
      </c>
      <c r="W14" s="11">
        <v>100.0</v>
      </c>
      <c r="X14" s="11" t="s">
        <v>36</v>
      </c>
      <c r="Y14" s="11">
        <v>0.3</v>
      </c>
      <c r="Z14" s="8">
        <f t="shared" si="6"/>
        <v>30</v>
      </c>
    </row>
    <row r="15">
      <c r="A15" s="20" t="s">
        <v>42</v>
      </c>
      <c r="B15" s="23">
        <v>46073.0</v>
      </c>
      <c r="C15" s="22">
        <v>1.0</v>
      </c>
      <c r="D15" s="22">
        <v>0.1</v>
      </c>
      <c r="E15" s="22">
        <v>0.0</v>
      </c>
      <c r="F15" s="22">
        <v>0.0</v>
      </c>
      <c r="G15" s="22">
        <v>86.0</v>
      </c>
      <c r="H15" s="22">
        <v>9.2</v>
      </c>
      <c r="I15" s="22">
        <v>0.0</v>
      </c>
      <c r="J15" s="22">
        <v>0.0</v>
      </c>
      <c r="K15" s="22">
        <v>2.0</v>
      </c>
      <c r="L15" s="22">
        <v>0.2</v>
      </c>
      <c r="M15" s="22">
        <v>3.0</v>
      </c>
      <c r="N15" s="22">
        <v>0.3</v>
      </c>
      <c r="O15" s="22">
        <v>1.0</v>
      </c>
      <c r="P15" s="22">
        <v>0.1</v>
      </c>
      <c r="Q15" s="22">
        <v>91.0</v>
      </c>
      <c r="R15" s="24">
        <v>9.8</v>
      </c>
      <c r="S15" s="22">
        <v>92.0</v>
      </c>
      <c r="T15" s="24">
        <v>9.9</v>
      </c>
      <c r="U15" s="22">
        <v>559.2</v>
      </c>
      <c r="V15" s="22">
        <v>9.3</v>
      </c>
      <c r="W15" s="11">
        <v>100.0</v>
      </c>
      <c r="X15" s="11" t="s">
        <v>36</v>
      </c>
      <c r="Y15" s="11">
        <v>0.3</v>
      </c>
      <c r="Z15" s="8">
        <f t="shared" si="6"/>
        <v>30</v>
      </c>
    </row>
    <row r="16">
      <c r="A16" s="20" t="s">
        <v>43</v>
      </c>
      <c r="B16" s="23">
        <v>46072.0</v>
      </c>
      <c r="C16" s="22">
        <v>0.0</v>
      </c>
      <c r="D16" s="22">
        <v>0.0</v>
      </c>
      <c r="E16" s="22">
        <v>0.0</v>
      </c>
      <c r="F16" s="22">
        <v>0.0</v>
      </c>
      <c r="G16" s="22">
        <v>145.0</v>
      </c>
      <c r="H16" s="22">
        <v>15.6</v>
      </c>
      <c r="I16" s="22">
        <v>0.0</v>
      </c>
      <c r="J16" s="22">
        <v>0.0</v>
      </c>
      <c r="K16" s="22">
        <v>1.0</v>
      </c>
      <c r="L16" s="22">
        <v>0.1</v>
      </c>
      <c r="M16" s="22">
        <v>37.0</v>
      </c>
      <c r="N16" s="22">
        <v>4.0</v>
      </c>
      <c r="O16" s="22">
        <v>0.0</v>
      </c>
      <c r="P16" s="22">
        <v>0.0</v>
      </c>
      <c r="Q16" s="22">
        <v>183.0</v>
      </c>
      <c r="R16" s="24">
        <v>19.6</v>
      </c>
      <c r="S16" s="22">
        <v>183.0</v>
      </c>
      <c r="T16" s="24">
        <v>19.6</v>
      </c>
      <c r="U16" s="22">
        <v>559.2</v>
      </c>
      <c r="V16" s="22">
        <v>9.3</v>
      </c>
      <c r="W16" s="11">
        <v>100.0</v>
      </c>
      <c r="X16" s="11" t="s">
        <v>36</v>
      </c>
      <c r="Y16" s="11">
        <v>0.3</v>
      </c>
      <c r="Z16" s="8">
        <f t="shared" si="6"/>
        <v>30</v>
      </c>
    </row>
    <row r="17">
      <c r="A17" s="20" t="s">
        <v>44</v>
      </c>
      <c r="B17" s="23">
        <v>46072.0</v>
      </c>
      <c r="C17" s="22">
        <v>0.0</v>
      </c>
      <c r="D17" s="22">
        <v>0.0</v>
      </c>
      <c r="E17" s="22">
        <v>0.0</v>
      </c>
      <c r="F17" s="22">
        <v>0.0</v>
      </c>
      <c r="G17" s="22">
        <v>272.0</v>
      </c>
      <c r="H17" s="22">
        <v>29.2</v>
      </c>
      <c r="I17" s="22">
        <v>1.0</v>
      </c>
      <c r="J17" s="22">
        <v>0.1</v>
      </c>
      <c r="K17" s="22">
        <v>21.0</v>
      </c>
      <c r="L17" s="22">
        <v>2.3</v>
      </c>
      <c r="M17" s="22">
        <v>6.0</v>
      </c>
      <c r="N17" s="22">
        <v>0.6</v>
      </c>
      <c r="O17" s="22">
        <v>0.0</v>
      </c>
      <c r="P17" s="22">
        <v>0.0</v>
      </c>
      <c r="Q17" s="22">
        <v>300.0</v>
      </c>
      <c r="R17" s="24">
        <v>32.2</v>
      </c>
      <c r="S17" s="22">
        <v>300.0</v>
      </c>
      <c r="T17" s="24">
        <v>32.2</v>
      </c>
      <c r="U17" s="22">
        <v>559.2</v>
      </c>
      <c r="V17" s="22">
        <v>9.3</v>
      </c>
      <c r="W17" s="11">
        <v>100.0</v>
      </c>
      <c r="X17" s="11" t="s">
        <v>36</v>
      </c>
      <c r="Y17" s="11">
        <v>0.3</v>
      </c>
      <c r="Z17" s="8">
        <f t="shared" si="6"/>
        <v>30</v>
      </c>
    </row>
    <row r="18">
      <c r="A18" s="20" t="s">
        <v>45</v>
      </c>
      <c r="B18" s="23">
        <v>46074.0</v>
      </c>
      <c r="C18" s="22">
        <v>1.0</v>
      </c>
      <c r="D18" s="22">
        <v>0.3</v>
      </c>
      <c r="E18" s="22">
        <v>0.0</v>
      </c>
      <c r="F18" s="22">
        <v>0.0</v>
      </c>
      <c r="G18" s="22">
        <v>5.0</v>
      </c>
      <c r="H18" s="22">
        <v>1.3</v>
      </c>
      <c r="I18" s="22">
        <v>0.0</v>
      </c>
      <c r="J18" s="22">
        <v>0.0</v>
      </c>
      <c r="K18" s="22">
        <v>3.0</v>
      </c>
      <c r="L18" s="22">
        <v>0.8</v>
      </c>
      <c r="M18" s="22">
        <v>0.0</v>
      </c>
      <c r="N18" s="22">
        <v>0.0</v>
      </c>
      <c r="O18" s="22">
        <v>1.0</v>
      </c>
      <c r="P18" s="22">
        <v>0.3</v>
      </c>
      <c r="Q18" s="22">
        <v>8.0</v>
      </c>
      <c r="R18" s="24">
        <v>2.1</v>
      </c>
      <c r="S18" s="22">
        <v>0.0</v>
      </c>
      <c r="T18" s="24">
        <v>2.3</v>
      </c>
      <c r="U18" s="22">
        <v>231.1</v>
      </c>
      <c r="V18" s="22">
        <v>3.9</v>
      </c>
      <c r="W18" s="22">
        <v>65.0</v>
      </c>
      <c r="X18" s="22" t="s">
        <v>27</v>
      </c>
      <c r="Y18" s="22">
        <v>0.7</v>
      </c>
      <c r="Z18" s="8">
        <f t="shared" si="6"/>
        <v>45.5</v>
      </c>
      <c r="AA18" s="22"/>
    </row>
    <row r="19">
      <c r="A19" s="20" t="s">
        <v>46</v>
      </c>
      <c r="B19" s="25">
        <v>46076.0</v>
      </c>
      <c r="C19" s="22">
        <v>3.0</v>
      </c>
      <c r="D19" s="22">
        <v>0.3</v>
      </c>
      <c r="E19" s="22">
        <v>0.0</v>
      </c>
      <c r="F19" s="22">
        <v>0.0</v>
      </c>
      <c r="G19" s="22">
        <v>439.0</v>
      </c>
      <c r="H19" s="22">
        <v>47.1</v>
      </c>
      <c r="I19" s="22">
        <v>10.0</v>
      </c>
      <c r="J19" s="22">
        <v>1.1</v>
      </c>
      <c r="K19" s="22">
        <v>32.0</v>
      </c>
      <c r="L19" s="22">
        <v>3.4</v>
      </c>
      <c r="M19" s="22">
        <v>7.0</v>
      </c>
      <c r="N19" s="22">
        <v>0.8</v>
      </c>
      <c r="O19" s="22">
        <v>3.0</v>
      </c>
      <c r="P19" s="22">
        <v>0.3</v>
      </c>
      <c r="Q19" s="22">
        <v>488.0</v>
      </c>
      <c r="R19" s="22">
        <v>52.4</v>
      </c>
      <c r="S19" s="22">
        <v>491.0</v>
      </c>
      <c r="T19" s="22">
        <v>52.7</v>
      </c>
      <c r="U19" s="22">
        <v>559.2</v>
      </c>
      <c r="V19" s="22">
        <v>9.3</v>
      </c>
      <c r="W19" s="22">
        <v>65.0</v>
      </c>
      <c r="X19" s="22" t="s">
        <v>27</v>
      </c>
      <c r="Y19" s="22">
        <v>1.0</v>
      </c>
      <c r="Z19" s="8">
        <f t="shared" si="6"/>
        <v>65</v>
      </c>
    </row>
    <row r="20">
      <c r="A20" s="20" t="s">
        <v>47</v>
      </c>
      <c r="B20" s="25">
        <v>46076.0</v>
      </c>
      <c r="C20" s="22">
        <v>0.0</v>
      </c>
      <c r="D20" s="22">
        <v>0.0</v>
      </c>
      <c r="E20" s="22">
        <v>0.0</v>
      </c>
      <c r="F20" s="22">
        <v>0.0</v>
      </c>
      <c r="G20" s="22">
        <v>169.0</v>
      </c>
      <c r="H20" s="22">
        <v>18.1</v>
      </c>
      <c r="I20" s="22">
        <v>0.0</v>
      </c>
      <c r="J20" s="22">
        <v>0.0</v>
      </c>
      <c r="K20" s="22">
        <v>7.0</v>
      </c>
      <c r="L20" s="22">
        <v>0.8</v>
      </c>
      <c r="M20" s="22">
        <v>43.0</v>
      </c>
      <c r="N20" s="22">
        <v>4.6</v>
      </c>
      <c r="O20" s="22">
        <v>0.0</v>
      </c>
      <c r="P20" s="22">
        <v>0.0</v>
      </c>
      <c r="Q20" s="22">
        <v>219.0</v>
      </c>
      <c r="R20" s="22">
        <v>23.5</v>
      </c>
      <c r="S20" s="22">
        <v>219.0</v>
      </c>
      <c r="T20" s="22">
        <v>23.5</v>
      </c>
      <c r="U20" s="22">
        <v>559.2</v>
      </c>
      <c r="V20" s="22">
        <v>9.3</v>
      </c>
      <c r="W20" s="22">
        <v>65.0</v>
      </c>
      <c r="X20" s="22" t="s">
        <v>27</v>
      </c>
      <c r="Y20" s="22">
        <v>1.0</v>
      </c>
      <c r="Z20" s="8">
        <f t="shared" si="6"/>
        <v>65</v>
      </c>
    </row>
    <row r="21">
      <c r="A21" s="11" t="s">
        <v>48</v>
      </c>
      <c r="B21" s="26">
        <v>46077.0</v>
      </c>
      <c r="C21" s="11">
        <v>4.0</v>
      </c>
      <c r="D21" s="11">
        <v>0.4</v>
      </c>
      <c r="E21" s="11">
        <v>0.0</v>
      </c>
      <c r="F21" s="11">
        <v>0.0</v>
      </c>
      <c r="G21" s="11">
        <v>713.0</v>
      </c>
      <c r="H21" s="11">
        <v>76.5</v>
      </c>
      <c r="I21" s="11">
        <v>14.0</v>
      </c>
      <c r="J21" s="11">
        <v>1.5</v>
      </c>
      <c r="K21" s="11">
        <v>148.0</v>
      </c>
      <c r="L21" s="11">
        <v>15.9</v>
      </c>
      <c r="M21" s="11">
        <v>96.0</v>
      </c>
      <c r="N21" s="11">
        <v>10.3</v>
      </c>
      <c r="O21" s="11">
        <v>4.0</v>
      </c>
      <c r="P21" s="11">
        <v>0.4</v>
      </c>
      <c r="Q21" s="11">
        <v>971.0</v>
      </c>
      <c r="R21" s="11">
        <v>104.2</v>
      </c>
      <c r="S21" s="11">
        <v>975.0</v>
      </c>
      <c r="T21" s="11">
        <v>104.6</v>
      </c>
      <c r="U21" s="11">
        <v>559.2</v>
      </c>
      <c r="V21" s="11">
        <v>9.3</v>
      </c>
      <c r="W21" s="11">
        <v>65.0</v>
      </c>
      <c r="X21" s="11" t="s">
        <v>27</v>
      </c>
      <c r="Y21" s="11">
        <v>1.0</v>
      </c>
      <c r="Z21" s="8">
        <f t="shared" si="6"/>
        <v>65</v>
      </c>
    </row>
    <row r="22">
      <c r="A22" s="11" t="s">
        <v>49</v>
      </c>
      <c r="B22" s="26">
        <v>46077.0</v>
      </c>
      <c r="C22" s="11">
        <v>0.0</v>
      </c>
      <c r="D22" s="11">
        <v>0.0</v>
      </c>
      <c r="E22" s="11">
        <v>0.0</v>
      </c>
      <c r="F22" s="11">
        <v>0.0</v>
      </c>
      <c r="G22" s="11">
        <v>64.0</v>
      </c>
      <c r="H22" s="11">
        <v>6.9</v>
      </c>
      <c r="I22" s="11">
        <v>0.0</v>
      </c>
      <c r="J22" s="11">
        <v>0.0</v>
      </c>
      <c r="K22" s="11">
        <v>5.0</v>
      </c>
      <c r="L22" s="11">
        <v>0.5</v>
      </c>
      <c r="M22" s="11">
        <v>0.0</v>
      </c>
      <c r="N22" s="11">
        <v>0.0</v>
      </c>
      <c r="O22" s="11">
        <v>0.0</v>
      </c>
      <c r="P22" s="11">
        <v>0.0</v>
      </c>
      <c r="Q22" s="11">
        <v>69.0</v>
      </c>
      <c r="R22" s="11">
        <v>7.4</v>
      </c>
      <c r="S22" s="11">
        <v>69.0</v>
      </c>
      <c r="T22" s="11">
        <v>7.4</v>
      </c>
      <c r="U22" s="11">
        <v>559.2</v>
      </c>
      <c r="V22" s="11">
        <v>9.3</v>
      </c>
      <c r="W22" s="11">
        <v>65.0</v>
      </c>
      <c r="X22" s="11" t="s">
        <v>27</v>
      </c>
      <c r="Y22" s="11">
        <v>1.0</v>
      </c>
      <c r="Z22" s="8">
        <f t="shared" si="6"/>
        <v>65</v>
      </c>
    </row>
    <row r="23" ht="15.75" customHeight="1">
      <c r="A23" s="20" t="s">
        <v>50</v>
      </c>
      <c r="B23" s="23">
        <v>46078.0</v>
      </c>
      <c r="C23" s="22">
        <v>0.0</v>
      </c>
      <c r="D23" s="22">
        <v>0.0</v>
      </c>
      <c r="E23" s="22">
        <v>0.0</v>
      </c>
      <c r="F23" s="22">
        <v>0.0</v>
      </c>
      <c r="G23" s="22">
        <v>555.0</v>
      </c>
      <c r="H23" s="22">
        <v>59.5</v>
      </c>
      <c r="I23" s="22">
        <v>20.0</v>
      </c>
      <c r="J23" s="22">
        <v>2.1</v>
      </c>
      <c r="K23" s="22">
        <v>72.0</v>
      </c>
      <c r="L23" s="22">
        <v>7.7</v>
      </c>
      <c r="M23" s="22">
        <v>36.0</v>
      </c>
      <c r="N23" s="22">
        <v>3.9</v>
      </c>
      <c r="O23" s="22">
        <v>0.0</v>
      </c>
      <c r="P23" s="22">
        <v>0.0</v>
      </c>
      <c r="Q23" s="22">
        <v>683.0</v>
      </c>
      <c r="R23" s="22">
        <v>73.3</v>
      </c>
      <c r="S23" s="22">
        <v>683.0</v>
      </c>
      <c r="T23" s="22">
        <v>73.3</v>
      </c>
      <c r="U23" s="22">
        <v>559.2</v>
      </c>
      <c r="V23" s="22">
        <v>9.3</v>
      </c>
      <c r="W23" s="11">
        <v>100.0</v>
      </c>
      <c r="X23" s="11" t="s">
        <v>36</v>
      </c>
      <c r="Y23" s="11">
        <v>0.9</v>
      </c>
      <c r="Z23" s="8">
        <f t="shared" si="6"/>
        <v>90</v>
      </c>
    </row>
    <row r="24" ht="15.75" customHeight="1">
      <c r="A24" s="20" t="s">
        <v>51</v>
      </c>
      <c r="B24" s="25">
        <v>46078.0</v>
      </c>
      <c r="C24" s="22">
        <v>0.0</v>
      </c>
      <c r="D24" s="22">
        <v>0.0</v>
      </c>
      <c r="E24" s="22">
        <v>0.0</v>
      </c>
      <c r="F24" s="22">
        <v>0.0</v>
      </c>
      <c r="G24" s="22">
        <v>10.0</v>
      </c>
      <c r="H24" s="22">
        <v>1.8</v>
      </c>
      <c r="I24" s="22">
        <v>1.0</v>
      </c>
      <c r="J24" s="22">
        <v>0.2</v>
      </c>
      <c r="K24" s="22">
        <v>1.0</v>
      </c>
      <c r="L24" s="22">
        <v>0.2</v>
      </c>
      <c r="M24" s="22">
        <v>0.0</v>
      </c>
      <c r="N24" s="22">
        <v>0.0</v>
      </c>
      <c r="O24" s="22">
        <v>0.0</v>
      </c>
      <c r="P24" s="22">
        <v>0.0</v>
      </c>
      <c r="Q24" s="22">
        <v>12.0</v>
      </c>
      <c r="R24" s="24">
        <v>2.2</v>
      </c>
      <c r="S24" s="22">
        <v>12.0</v>
      </c>
      <c r="T24" s="24">
        <v>2.2</v>
      </c>
      <c r="U24" s="22">
        <v>331.5</v>
      </c>
      <c r="V24" s="22">
        <v>5.5</v>
      </c>
      <c r="W24" s="11">
        <v>100.0</v>
      </c>
      <c r="X24" s="11" t="s">
        <v>36</v>
      </c>
      <c r="Y24" s="11">
        <v>0.9</v>
      </c>
      <c r="Z24" s="8">
        <f t="shared" si="6"/>
        <v>90</v>
      </c>
    </row>
    <row r="25" ht="15.75" customHeight="1">
      <c r="A25" s="20" t="s">
        <v>52</v>
      </c>
      <c r="B25" s="23">
        <v>46081.0</v>
      </c>
      <c r="C25" s="22">
        <v>0.0</v>
      </c>
      <c r="D25" s="22">
        <v>0.0</v>
      </c>
      <c r="E25" s="22">
        <v>0.0</v>
      </c>
      <c r="F25" s="22">
        <v>0.0</v>
      </c>
      <c r="G25" s="22">
        <v>160.0</v>
      </c>
      <c r="H25" s="22">
        <v>17.2</v>
      </c>
      <c r="I25" s="22">
        <v>0.0</v>
      </c>
      <c r="J25" s="22">
        <v>0.0</v>
      </c>
      <c r="K25" s="22">
        <v>1.0</v>
      </c>
      <c r="L25" s="22">
        <v>0.1</v>
      </c>
      <c r="M25" s="22">
        <v>49.0</v>
      </c>
      <c r="N25" s="22">
        <v>5.3</v>
      </c>
      <c r="O25" s="22">
        <v>0.0</v>
      </c>
      <c r="P25" s="22">
        <v>0.0</v>
      </c>
      <c r="Q25" s="22">
        <v>210.0</v>
      </c>
      <c r="R25" s="24">
        <v>22.5</v>
      </c>
      <c r="S25" s="22">
        <v>210.0</v>
      </c>
      <c r="T25" s="24">
        <v>22.5</v>
      </c>
      <c r="U25" s="22">
        <v>559.2</v>
      </c>
      <c r="V25" s="22">
        <v>9.3</v>
      </c>
      <c r="W25" s="11">
        <v>100.0</v>
      </c>
      <c r="X25" s="11" t="s">
        <v>36</v>
      </c>
      <c r="Y25" s="11">
        <v>0.7</v>
      </c>
      <c r="Z25" s="8">
        <f t="shared" si="6"/>
        <v>70</v>
      </c>
    </row>
    <row r="26" ht="15.75" customHeight="1">
      <c r="A26" s="20" t="s">
        <v>53</v>
      </c>
      <c r="B26" s="23">
        <v>46081.0</v>
      </c>
      <c r="C26" s="22">
        <v>0.0</v>
      </c>
      <c r="D26" s="22">
        <v>0.0</v>
      </c>
      <c r="E26" s="22">
        <v>0.0</v>
      </c>
      <c r="F26" s="22">
        <v>0.0</v>
      </c>
      <c r="G26" s="22">
        <v>243.0</v>
      </c>
      <c r="H26" s="22">
        <v>26.1</v>
      </c>
      <c r="I26" s="22">
        <v>1.0</v>
      </c>
      <c r="J26" s="22">
        <v>0.1</v>
      </c>
      <c r="K26" s="22">
        <v>10.0</v>
      </c>
      <c r="L26" s="22">
        <v>1.1</v>
      </c>
      <c r="M26" s="22">
        <v>2.0</v>
      </c>
      <c r="N26" s="22">
        <v>0.2</v>
      </c>
      <c r="O26" s="22">
        <v>0.0</v>
      </c>
      <c r="P26" s="22">
        <v>0.0</v>
      </c>
      <c r="Q26" s="22">
        <v>256.0</v>
      </c>
      <c r="R26" s="24">
        <v>27.5</v>
      </c>
      <c r="S26" s="22">
        <v>256.0</v>
      </c>
      <c r="T26" s="24">
        <v>27.5</v>
      </c>
      <c r="U26" s="22">
        <v>559.2</v>
      </c>
      <c r="V26" s="22">
        <v>9.3</v>
      </c>
      <c r="W26" s="11">
        <v>100.0</v>
      </c>
      <c r="X26" s="11" t="s">
        <v>36</v>
      </c>
      <c r="Y26" s="11">
        <v>0.7</v>
      </c>
      <c r="Z26" s="8">
        <f t="shared" si="6"/>
        <v>70</v>
      </c>
    </row>
    <row r="27" ht="15.75" customHeight="1">
      <c r="A27" s="20" t="s">
        <v>54</v>
      </c>
      <c r="B27" s="23">
        <v>46081.0</v>
      </c>
      <c r="C27" s="22">
        <v>1.0</v>
      </c>
      <c r="D27" s="22">
        <v>0.1</v>
      </c>
      <c r="E27" s="22">
        <v>0.0</v>
      </c>
      <c r="F27" s="22">
        <v>0.0</v>
      </c>
      <c r="G27" s="22">
        <v>541.0</v>
      </c>
      <c r="H27" s="22">
        <v>58.0</v>
      </c>
      <c r="I27" s="22">
        <v>5.0</v>
      </c>
      <c r="J27" s="22">
        <v>0.5</v>
      </c>
      <c r="K27" s="22">
        <v>9.0</v>
      </c>
      <c r="L27" s="22">
        <v>1.0</v>
      </c>
      <c r="M27" s="22">
        <v>59.0</v>
      </c>
      <c r="N27" s="22">
        <v>6.3</v>
      </c>
      <c r="O27" s="22">
        <v>1.0</v>
      </c>
      <c r="P27" s="22">
        <v>0.1</v>
      </c>
      <c r="Q27" s="22">
        <v>614.0</v>
      </c>
      <c r="R27" s="24">
        <v>65.9</v>
      </c>
      <c r="S27" s="22">
        <v>615.0</v>
      </c>
      <c r="T27" s="24">
        <v>66.0</v>
      </c>
      <c r="U27" s="22">
        <v>559.2</v>
      </c>
      <c r="V27" s="22">
        <v>9.3</v>
      </c>
      <c r="W27" s="11">
        <v>100.0</v>
      </c>
      <c r="X27" s="11" t="s">
        <v>36</v>
      </c>
      <c r="Y27" s="11">
        <v>0.7</v>
      </c>
      <c r="Z27" s="8">
        <f t="shared" si="6"/>
        <v>70</v>
      </c>
    </row>
    <row r="28" ht="15.75" customHeight="1">
      <c r="A28" s="20" t="s">
        <v>55</v>
      </c>
      <c r="B28" s="23">
        <v>46080.0</v>
      </c>
      <c r="C28" s="22">
        <v>2.0</v>
      </c>
      <c r="D28" s="22">
        <v>0.2</v>
      </c>
      <c r="E28" s="22">
        <v>0.0</v>
      </c>
      <c r="F28" s="22">
        <v>0.0</v>
      </c>
      <c r="G28" s="22">
        <v>54.0</v>
      </c>
      <c r="H28" s="22">
        <v>5.8</v>
      </c>
      <c r="I28" s="22">
        <v>0.0</v>
      </c>
      <c r="J28" s="22">
        <v>0.0</v>
      </c>
      <c r="K28" s="22">
        <v>10.0</v>
      </c>
      <c r="L28" s="22">
        <v>1.1</v>
      </c>
      <c r="M28" s="22">
        <v>2.0</v>
      </c>
      <c r="N28" s="22">
        <v>0.2</v>
      </c>
      <c r="O28" s="22">
        <v>2.0</v>
      </c>
      <c r="P28" s="22">
        <v>0.2</v>
      </c>
      <c r="Q28" s="22">
        <v>66.0</v>
      </c>
      <c r="R28" s="24">
        <v>7.1</v>
      </c>
      <c r="S28" s="22">
        <v>68.0</v>
      </c>
      <c r="T28" s="24">
        <v>7.3</v>
      </c>
      <c r="U28" s="22">
        <v>559.2</v>
      </c>
      <c r="V28" s="22">
        <v>9.3</v>
      </c>
      <c r="W28" s="11">
        <v>100.0</v>
      </c>
      <c r="X28" s="11" t="s">
        <v>36</v>
      </c>
      <c r="Y28" s="11">
        <v>0.75</v>
      </c>
      <c r="Z28" s="8">
        <f t="shared" si="6"/>
        <v>75</v>
      </c>
    </row>
    <row r="29" ht="15.75" customHeight="1">
      <c r="A29" s="20" t="s">
        <v>56</v>
      </c>
      <c r="B29" s="23">
        <v>46080.0</v>
      </c>
      <c r="C29" s="22">
        <v>0.0</v>
      </c>
      <c r="D29" s="22">
        <v>0.0</v>
      </c>
      <c r="E29" s="22">
        <v>1.0</v>
      </c>
      <c r="F29" s="22">
        <v>0.1</v>
      </c>
      <c r="G29" s="22">
        <v>593.0</v>
      </c>
      <c r="H29" s="22">
        <v>63.6</v>
      </c>
      <c r="I29" s="22">
        <v>11.0</v>
      </c>
      <c r="J29" s="22">
        <v>1.2</v>
      </c>
      <c r="K29" s="22">
        <v>42.0</v>
      </c>
      <c r="L29" s="22">
        <v>4.5</v>
      </c>
      <c r="M29" s="22">
        <v>21.0</v>
      </c>
      <c r="N29" s="22">
        <v>2.3</v>
      </c>
      <c r="O29" s="22">
        <v>1.0</v>
      </c>
      <c r="P29" s="22">
        <v>0.1</v>
      </c>
      <c r="Q29" s="22">
        <v>667.0</v>
      </c>
      <c r="R29" s="24">
        <v>71.6</v>
      </c>
      <c r="S29" s="22">
        <v>668.0</v>
      </c>
      <c r="T29" s="24">
        <v>71.7</v>
      </c>
      <c r="U29" s="22">
        <v>559.2</v>
      </c>
      <c r="V29" s="22">
        <v>9.3</v>
      </c>
      <c r="W29" s="11">
        <v>100.0</v>
      </c>
      <c r="X29" s="11" t="s">
        <v>36</v>
      </c>
      <c r="Y29" s="11">
        <v>0.75</v>
      </c>
      <c r="Z29" s="8">
        <f t="shared" si="6"/>
        <v>75</v>
      </c>
    </row>
    <row r="30" ht="15.75" customHeight="1">
      <c r="A30" s="20" t="s">
        <v>57</v>
      </c>
      <c r="B30" s="23">
        <v>46082.0</v>
      </c>
      <c r="C30" s="22">
        <v>0.0</v>
      </c>
      <c r="D30" s="22">
        <v>0.0</v>
      </c>
      <c r="E30" s="22">
        <v>0.0</v>
      </c>
      <c r="F30" s="22">
        <v>0.0</v>
      </c>
      <c r="G30" s="22">
        <v>93.0</v>
      </c>
      <c r="H30" s="22">
        <v>15.9</v>
      </c>
      <c r="I30" s="22">
        <v>1.0</v>
      </c>
      <c r="J30" s="22">
        <v>0.2</v>
      </c>
      <c r="K30" s="22">
        <v>0.0</v>
      </c>
      <c r="L30" s="22">
        <v>0.0</v>
      </c>
      <c r="M30" s="22">
        <v>2.0</v>
      </c>
      <c r="N30" s="22">
        <v>0.3</v>
      </c>
      <c r="O30" s="22">
        <v>0.0</v>
      </c>
      <c r="P30" s="22">
        <v>0.0</v>
      </c>
      <c r="Q30" s="22">
        <v>96.0</v>
      </c>
      <c r="R30" s="24">
        <v>16.4</v>
      </c>
      <c r="S30" s="22">
        <v>96.0</v>
      </c>
      <c r="T30" s="24">
        <v>16.4</v>
      </c>
      <c r="U30" s="22">
        <v>350.8</v>
      </c>
      <c r="V30" s="22">
        <v>5.8</v>
      </c>
      <c r="W30" s="11">
        <v>65.0</v>
      </c>
      <c r="X30" s="11" t="s">
        <v>27</v>
      </c>
      <c r="Y30" s="11">
        <v>0.6</v>
      </c>
      <c r="Z30" s="8">
        <f t="shared" si="6"/>
        <v>39</v>
      </c>
    </row>
    <row r="31" ht="15.75" customHeight="1">
      <c r="A31" s="20" t="s">
        <v>58</v>
      </c>
      <c r="B31" s="23">
        <v>46082.0</v>
      </c>
      <c r="C31" s="22">
        <v>0.0</v>
      </c>
      <c r="D31" s="22">
        <v>0.0</v>
      </c>
      <c r="E31" s="22">
        <v>1.0</v>
      </c>
      <c r="F31" s="22">
        <v>0.1</v>
      </c>
      <c r="G31" s="22">
        <v>807.0</v>
      </c>
      <c r="H31" s="22">
        <v>86.6</v>
      </c>
      <c r="I31" s="22">
        <v>4.0</v>
      </c>
      <c r="J31" s="22">
        <v>0.4</v>
      </c>
      <c r="K31" s="22">
        <v>48.0</v>
      </c>
      <c r="L31" s="22">
        <v>5.2</v>
      </c>
      <c r="M31" s="22">
        <v>24.0</v>
      </c>
      <c r="N31" s="22">
        <v>2.6</v>
      </c>
      <c r="O31" s="22">
        <v>1.0</v>
      </c>
      <c r="P31" s="22">
        <v>0.1</v>
      </c>
      <c r="Q31" s="22">
        <v>883.0</v>
      </c>
      <c r="R31" s="24">
        <v>94.7</v>
      </c>
      <c r="S31" s="22">
        <v>884.0</v>
      </c>
      <c r="T31" s="24">
        <v>94.8</v>
      </c>
      <c r="U31" s="22">
        <v>559.2</v>
      </c>
      <c r="V31" s="22">
        <v>9.3</v>
      </c>
      <c r="W31" s="11">
        <v>65.0</v>
      </c>
      <c r="X31" s="11" t="s">
        <v>27</v>
      </c>
      <c r="Y31" s="11">
        <v>0.6</v>
      </c>
      <c r="Z31" s="8">
        <f t="shared" si="6"/>
        <v>39</v>
      </c>
    </row>
    <row r="32" ht="15.75" customHeight="1">
      <c r="A32" s="20" t="s">
        <v>59</v>
      </c>
      <c r="B32" s="23">
        <v>46116.0</v>
      </c>
      <c r="C32" s="22">
        <v>229.0</v>
      </c>
      <c r="D32" s="22">
        <v>24.6</v>
      </c>
      <c r="E32" s="22">
        <v>0.0</v>
      </c>
      <c r="F32" s="22">
        <v>0.0</v>
      </c>
      <c r="G32" s="22">
        <v>971.0</v>
      </c>
      <c r="H32" s="22">
        <v>104.2</v>
      </c>
      <c r="I32" s="22">
        <v>0.0</v>
      </c>
      <c r="J32" s="22">
        <v>0.0</v>
      </c>
      <c r="K32" s="22">
        <v>25.0</v>
      </c>
      <c r="L32" s="22">
        <v>2.7</v>
      </c>
      <c r="M32" s="22">
        <v>676.0</v>
      </c>
      <c r="N32" s="22">
        <v>72.5</v>
      </c>
      <c r="O32" s="22">
        <v>229.0</v>
      </c>
      <c r="P32" s="22">
        <v>24.6</v>
      </c>
      <c r="Q32" s="22">
        <v>1672.0</v>
      </c>
      <c r="R32" s="24">
        <v>179.4</v>
      </c>
      <c r="S32" s="22">
        <v>1901.0</v>
      </c>
      <c r="T32" s="24">
        <v>204.0</v>
      </c>
      <c r="U32" s="22">
        <v>559.2</v>
      </c>
      <c r="V32" s="22">
        <v>9.3</v>
      </c>
      <c r="Z32" s="8">
        <f t="shared" si="6"/>
        <v>0</v>
      </c>
    </row>
    <row r="33" ht="15.75" customHeight="1">
      <c r="A33" s="20" t="s">
        <v>60</v>
      </c>
      <c r="B33" s="23">
        <v>46116.0</v>
      </c>
      <c r="C33" s="22">
        <v>113.0</v>
      </c>
      <c r="D33" s="22">
        <v>15.4</v>
      </c>
      <c r="E33" s="22">
        <v>0.0</v>
      </c>
      <c r="F33" s="22">
        <v>0.0</v>
      </c>
      <c r="G33" s="22">
        <v>71.0</v>
      </c>
      <c r="H33" s="22">
        <v>9.7</v>
      </c>
      <c r="I33" s="22">
        <v>0.0</v>
      </c>
      <c r="J33" s="22">
        <v>0.0</v>
      </c>
      <c r="K33" s="22">
        <v>5.0</v>
      </c>
      <c r="L33" s="22">
        <v>0.7</v>
      </c>
      <c r="M33" s="22">
        <v>320.0</v>
      </c>
      <c r="N33" s="22">
        <v>43.7</v>
      </c>
      <c r="O33" s="22">
        <v>113.0</v>
      </c>
      <c r="P33" s="22">
        <v>15.4</v>
      </c>
      <c r="Q33" s="22">
        <v>396.0</v>
      </c>
      <c r="R33" s="24">
        <v>54.1</v>
      </c>
      <c r="S33" s="22">
        <v>509.0</v>
      </c>
      <c r="T33" s="24">
        <v>69.6</v>
      </c>
      <c r="U33" s="22">
        <v>439.0</v>
      </c>
      <c r="V33" s="22">
        <v>7.3</v>
      </c>
      <c r="Z33" s="8">
        <f t="shared" si="6"/>
        <v>0</v>
      </c>
    </row>
    <row r="34" ht="15.75" customHeight="1">
      <c r="A34" s="20" t="s">
        <v>61</v>
      </c>
      <c r="B34" s="23">
        <v>46086.0</v>
      </c>
      <c r="C34" s="22">
        <v>0.0</v>
      </c>
      <c r="D34" s="22">
        <v>0.0</v>
      </c>
      <c r="E34" s="22">
        <v>0.0</v>
      </c>
      <c r="F34" s="22">
        <v>0.0</v>
      </c>
      <c r="G34" s="22">
        <v>130.0</v>
      </c>
      <c r="H34" s="22">
        <v>13.9</v>
      </c>
      <c r="I34" s="22">
        <v>0.0</v>
      </c>
      <c r="J34" s="22">
        <v>0.0</v>
      </c>
      <c r="K34" s="22">
        <v>3.0</v>
      </c>
      <c r="L34" s="22">
        <v>0.3</v>
      </c>
      <c r="M34" s="22">
        <v>7.0</v>
      </c>
      <c r="N34" s="22">
        <v>0.8</v>
      </c>
      <c r="O34" s="22">
        <v>0.0</v>
      </c>
      <c r="P34" s="22">
        <v>0.0</v>
      </c>
      <c r="Q34" s="22">
        <v>140.0</v>
      </c>
      <c r="R34" s="24">
        <v>15.0</v>
      </c>
      <c r="S34" s="22">
        <v>140.0</v>
      </c>
      <c r="T34" s="24">
        <v>15.0</v>
      </c>
      <c r="U34" s="22">
        <v>559.2</v>
      </c>
      <c r="V34" s="22">
        <v>9.3</v>
      </c>
      <c r="W34" s="11">
        <v>65.0</v>
      </c>
      <c r="X34" s="11" t="s">
        <v>27</v>
      </c>
      <c r="Y34" s="11">
        <v>0.7</v>
      </c>
      <c r="Z34" s="8">
        <f t="shared" si="6"/>
        <v>45.5</v>
      </c>
    </row>
    <row r="35" ht="15.75" customHeight="1">
      <c r="A35" s="20" t="s">
        <v>62</v>
      </c>
      <c r="B35" s="25">
        <v>46086.0</v>
      </c>
      <c r="C35" s="22">
        <v>0.0</v>
      </c>
      <c r="D35" s="22">
        <v>0.0</v>
      </c>
      <c r="E35" s="22">
        <v>0.0</v>
      </c>
      <c r="F35" s="22">
        <v>0.0</v>
      </c>
      <c r="G35" s="22">
        <v>217.0</v>
      </c>
      <c r="H35" s="22">
        <v>23.3</v>
      </c>
      <c r="I35" s="22">
        <v>2.0</v>
      </c>
      <c r="J35" s="22">
        <v>0.2</v>
      </c>
      <c r="K35" s="22">
        <v>2.0</v>
      </c>
      <c r="L35" s="22">
        <v>0.2</v>
      </c>
      <c r="M35" s="22">
        <v>3.0</v>
      </c>
      <c r="N35" s="22">
        <v>0.3</v>
      </c>
      <c r="O35" s="22">
        <v>0.0</v>
      </c>
      <c r="P35" s="22">
        <v>0.0</v>
      </c>
      <c r="Q35" s="22">
        <v>224.0</v>
      </c>
      <c r="R35" s="24">
        <v>24.0</v>
      </c>
      <c r="S35" s="22">
        <v>224.0</v>
      </c>
      <c r="T35" s="24">
        <v>24.0</v>
      </c>
      <c r="U35" s="22">
        <v>559.2</v>
      </c>
      <c r="V35" s="22">
        <v>9.3</v>
      </c>
      <c r="W35" s="11">
        <v>65.0</v>
      </c>
      <c r="X35" s="11" t="s">
        <v>27</v>
      </c>
      <c r="Y35" s="11">
        <v>0.7</v>
      </c>
      <c r="Z35" s="8">
        <f t="shared" si="6"/>
        <v>45.5</v>
      </c>
    </row>
    <row r="36" ht="15.75" customHeight="1">
      <c r="A36" s="20" t="s">
        <v>63</v>
      </c>
      <c r="B36" s="23">
        <v>46087.0</v>
      </c>
      <c r="C36" s="22">
        <v>2.0</v>
      </c>
      <c r="D36" s="22">
        <v>0.2</v>
      </c>
      <c r="E36" s="22">
        <v>0.0</v>
      </c>
      <c r="F36" s="22">
        <v>0.0</v>
      </c>
      <c r="G36" s="22">
        <v>612.0</v>
      </c>
      <c r="H36" s="22">
        <v>65.7</v>
      </c>
      <c r="I36" s="22">
        <v>1.0</v>
      </c>
      <c r="J36" s="22">
        <v>0.1</v>
      </c>
      <c r="K36" s="22">
        <v>20.0</v>
      </c>
      <c r="L36" s="22">
        <v>2.1</v>
      </c>
      <c r="M36" s="22">
        <v>44.0</v>
      </c>
      <c r="N36" s="22">
        <v>4.7</v>
      </c>
      <c r="O36" s="22">
        <v>2.0</v>
      </c>
      <c r="P36" s="22">
        <v>0.2</v>
      </c>
      <c r="Q36" s="22">
        <v>677.0</v>
      </c>
      <c r="R36" s="24">
        <v>72.6</v>
      </c>
      <c r="S36" s="22">
        <v>679.0</v>
      </c>
      <c r="T36" s="24">
        <v>72.9</v>
      </c>
      <c r="U36" s="22">
        <v>559.2</v>
      </c>
      <c r="V36" s="22">
        <v>9.3</v>
      </c>
      <c r="Z36" s="8">
        <f t="shared" si="6"/>
        <v>0</v>
      </c>
    </row>
    <row r="37" ht="15.75" customHeight="1">
      <c r="A37" s="20" t="s">
        <v>64</v>
      </c>
      <c r="B37" s="23">
        <v>46087.0</v>
      </c>
      <c r="C37" s="22">
        <v>0.0</v>
      </c>
      <c r="D37" s="22">
        <v>0.0</v>
      </c>
      <c r="E37" s="22">
        <v>0.0</v>
      </c>
      <c r="F37" s="22">
        <v>0.0</v>
      </c>
      <c r="G37" s="22">
        <v>10.0</v>
      </c>
      <c r="H37" s="22">
        <v>1.1</v>
      </c>
      <c r="I37" s="22">
        <v>0.0</v>
      </c>
      <c r="J37" s="22">
        <v>0.0</v>
      </c>
      <c r="K37" s="22">
        <v>0.0</v>
      </c>
      <c r="L37" s="22">
        <v>0.0</v>
      </c>
      <c r="M37" s="22">
        <v>0.0</v>
      </c>
      <c r="N37" s="22">
        <v>0.0</v>
      </c>
      <c r="O37" s="22">
        <v>0.0</v>
      </c>
      <c r="P37" s="22">
        <v>0.0</v>
      </c>
      <c r="Q37" s="22">
        <v>10.0</v>
      </c>
      <c r="R37" s="24">
        <v>1.1</v>
      </c>
      <c r="S37" s="22">
        <v>10.0</v>
      </c>
      <c r="T37" s="24">
        <v>1.1</v>
      </c>
      <c r="U37" s="22">
        <v>559.2</v>
      </c>
      <c r="V37" s="22">
        <v>9.3</v>
      </c>
      <c r="Z37" s="8">
        <f t="shared" si="6"/>
        <v>0</v>
      </c>
    </row>
    <row r="38" ht="15.75" customHeight="1">
      <c r="A38" s="20" t="s">
        <v>65</v>
      </c>
      <c r="B38" s="23">
        <v>46088.0</v>
      </c>
      <c r="C38" s="22">
        <v>3.0</v>
      </c>
      <c r="D38" s="22">
        <v>0.3</v>
      </c>
      <c r="E38" s="22">
        <v>0.0</v>
      </c>
      <c r="F38" s="22">
        <v>0.0</v>
      </c>
      <c r="G38" s="22">
        <v>725.0</v>
      </c>
      <c r="H38" s="22">
        <v>77.8</v>
      </c>
      <c r="I38" s="22">
        <v>1.0</v>
      </c>
      <c r="J38" s="22">
        <v>0.1</v>
      </c>
      <c r="K38" s="22">
        <v>11.0</v>
      </c>
      <c r="L38" s="22">
        <v>1.2</v>
      </c>
      <c r="M38" s="22">
        <v>35.0</v>
      </c>
      <c r="N38" s="22">
        <v>3.8</v>
      </c>
      <c r="O38" s="22">
        <v>3.0</v>
      </c>
      <c r="P38" s="22">
        <v>0.3</v>
      </c>
      <c r="Q38" s="22">
        <v>772.0</v>
      </c>
      <c r="R38" s="24">
        <v>82.8</v>
      </c>
      <c r="S38" s="22">
        <v>775.0</v>
      </c>
      <c r="T38" s="24">
        <v>83.2</v>
      </c>
      <c r="U38" s="22">
        <v>559.2</v>
      </c>
      <c r="V38" s="22">
        <v>9.3</v>
      </c>
      <c r="Z38" s="8">
        <f t="shared" si="6"/>
        <v>0</v>
      </c>
    </row>
    <row r="39" ht="15.75" customHeight="1">
      <c r="A39" s="20" t="s">
        <v>66</v>
      </c>
      <c r="B39" s="23">
        <v>46088.0</v>
      </c>
      <c r="C39" s="22">
        <v>0.0</v>
      </c>
      <c r="D39" s="22">
        <v>0.0</v>
      </c>
      <c r="E39" s="22">
        <v>0.0</v>
      </c>
      <c r="F39" s="22">
        <v>0.0</v>
      </c>
      <c r="G39" s="22">
        <v>238.0</v>
      </c>
      <c r="H39" s="22">
        <v>36.7</v>
      </c>
      <c r="I39" s="22">
        <v>0.0</v>
      </c>
      <c r="J39" s="22">
        <v>0.0</v>
      </c>
      <c r="K39" s="22">
        <v>10.0</v>
      </c>
      <c r="L39" s="22">
        <v>1.5</v>
      </c>
      <c r="M39" s="22">
        <v>13.0</v>
      </c>
      <c r="N39" s="22">
        <v>2.0</v>
      </c>
      <c r="O39" s="22">
        <v>0.0</v>
      </c>
      <c r="P39" s="22">
        <v>0.0</v>
      </c>
      <c r="Q39" s="22">
        <v>261.0</v>
      </c>
      <c r="R39" s="24">
        <v>40.2</v>
      </c>
      <c r="S39" s="22">
        <v>261.0</v>
      </c>
      <c r="T39" s="24">
        <v>40.2</v>
      </c>
      <c r="U39" s="22">
        <v>389.6</v>
      </c>
      <c r="V39" s="22">
        <v>6.5</v>
      </c>
      <c r="Z39" s="8">
        <f t="shared" si="6"/>
        <v>0</v>
      </c>
    </row>
    <row r="40" ht="15.75" customHeight="1">
      <c r="R40" s="27"/>
      <c r="T40" s="27"/>
      <c r="Z40" s="8">
        <f t="shared" si="6"/>
        <v>0</v>
      </c>
    </row>
    <row r="41" ht="15.75" customHeight="1">
      <c r="R41" s="27"/>
      <c r="T41" s="27"/>
      <c r="Z41" s="8">
        <f t="shared" si="6"/>
        <v>0</v>
      </c>
    </row>
    <row r="42" ht="15.75" customHeight="1">
      <c r="R42" s="27"/>
      <c r="T42" s="27"/>
      <c r="Z42" s="8">
        <f t="shared" si="6"/>
        <v>0</v>
      </c>
    </row>
    <row r="43" ht="15.75" customHeight="1">
      <c r="R43" s="27"/>
      <c r="T43" s="27"/>
      <c r="Z43" s="8">
        <f t="shared" si="6"/>
        <v>0</v>
      </c>
    </row>
    <row r="44" ht="15.75" customHeight="1">
      <c r="R44" s="27"/>
      <c r="T44" s="27"/>
      <c r="Z44" s="8">
        <f t="shared" si="6"/>
        <v>0</v>
      </c>
    </row>
    <row r="45" ht="15.75" customHeight="1">
      <c r="R45" s="27"/>
      <c r="T45" s="27"/>
      <c r="Z45" s="8">
        <f t="shared" si="6"/>
        <v>0</v>
      </c>
    </row>
    <row r="46" ht="15.75" customHeight="1">
      <c r="R46" s="27"/>
      <c r="T46" s="27"/>
      <c r="Z46" s="8">
        <f t="shared" si="6"/>
        <v>0</v>
      </c>
    </row>
    <row r="47" ht="15.75" customHeight="1">
      <c r="R47" s="27"/>
      <c r="T47" s="27"/>
      <c r="Z47" s="8">
        <f t="shared" si="6"/>
        <v>0</v>
      </c>
    </row>
    <row r="48" ht="15.75" customHeight="1">
      <c r="R48" s="27"/>
      <c r="T48" s="27"/>
      <c r="Z48" s="8">
        <f t="shared" si="6"/>
        <v>0</v>
      </c>
    </row>
    <row r="49" ht="15.75" customHeight="1">
      <c r="R49" s="27"/>
      <c r="T49" s="27"/>
      <c r="Z49" s="8">
        <f t="shared" si="6"/>
        <v>0</v>
      </c>
    </row>
    <row r="50" ht="15.75" customHeight="1">
      <c r="R50" s="27"/>
      <c r="T50" s="27"/>
      <c r="Z50" s="8">
        <f t="shared" si="6"/>
        <v>0</v>
      </c>
    </row>
    <row r="51" ht="15.75" customHeight="1">
      <c r="R51" s="27"/>
      <c r="T51" s="27"/>
      <c r="Z51" s="8">
        <f t="shared" si="6"/>
        <v>0</v>
      </c>
    </row>
    <row r="52" ht="15.75" customHeight="1">
      <c r="R52" s="27"/>
      <c r="T52" s="27"/>
      <c r="Z52" s="8">
        <f t="shared" si="6"/>
        <v>0</v>
      </c>
    </row>
    <row r="53" ht="15.75" customHeight="1">
      <c r="R53" s="27"/>
      <c r="T53" s="27"/>
      <c r="Z53" s="8">
        <f t="shared" si="6"/>
        <v>0</v>
      </c>
    </row>
    <row r="54" ht="15.75" customHeight="1">
      <c r="R54" s="27"/>
      <c r="T54" s="27"/>
      <c r="Z54" s="8">
        <f t="shared" si="6"/>
        <v>0</v>
      </c>
    </row>
    <row r="55" ht="15.75" customHeight="1">
      <c r="R55" s="27"/>
      <c r="T55" s="27"/>
      <c r="Z55" s="8">
        <f t="shared" si="6"/>
        <v>0</v>
      </c>
    </row>
    <row r="56" ht="15.75" customHeight="1">
      <c r="R56" s="27"/>
      <c r="T56" s="27"/>
      <c r="Z56" s="8">
        <f t="shared" si="6"/>
        <v>0</v>
      </c>
    </row>
    <row r="57" ht="15.75" customHeight="1">
      <c r="R57" s="27"/>
      <c r="T57" s="27"/>
      <c r="Z57" s="8">
        <f t="shared" si="6"/>
        <v>0</v>
      </c>
    </row>
    <row r="58" ht="15.75" customHeight="1">
      <c r="R58" s="27"/>
      <c r="T58" s="27"/>
      <c r="Z58" s="8">
        <f t="shared" si="6"/>
        <v>0</v>
      </c>
    </row>
    <row r="59" ht="15.75" customHeight="1">
      <c r="R59" s="27"/>
      <c r="T59" s="27"/>
      <c r="Z59" s="8">
        <f t="shared" si="6"/>
        <v>0</v>
      </c>
    </row>
    <row r="60" ht="15.75" customHeight="1">
      <c r="R60" s="27"/>
      <c r="T60" s="27"/>
      <c r="Z60" s="8">
        <f t="shared" si="6"/>
        <v>0</v>
      </c>
    </row>
    <row r="61" ht="15.75" customHeight="1">
      <c r="R61" s="27"/>
      <c r="T61" s="27"/>
      <c r="Z61" s="8">
        <f t="shared" si="6"/>
        <v>0</v>
      </c>
    </row>
    <row r="62" ht="15.75" customHeight="1">
      <c r="R62" s="27"/>
      <c r="T62" s="27"/>
      <c r="Z62" s="8">
        <f t="shared" si="6"/>
        <v>0</v>
      </c>
    </row>
    <row r="63" ht="15.75" customHeight="1">
      <c r="R63" s="27"/>
      <c r="T63" s="27"/>
      <c r="Z63" s="8">
        <f t="shared" si="6"/>
        <v>0</v>
      </c>
    </row>
    <row r="64" ht="15.75" customHeight="1">
      <c r="R64" s="27"/>
      <c r="T64" s="27"/>
      <c r="Z64" s="8">
        <f t="shared" si="6"/>
        <v>0</v>
      </c>
    </row>
    <row r="65" ht="15.75" customHeight="1">
      <c r="R65" s="27"/>
      <c r="T65" s="27"/>
      <c r="Z65" s="8">
        <f t="shared" si="6"/>
        <v>0</v>
      </c>
    </row>
    <row r="66" ht="15.75" customHeight="1">
      <c r="R66" s="27"/>
      <c r="T66" s="27"/>
      <c r="Z66" s="8">
        <f t="shared" si="6"/>
        <v>0</v>
      </c>
    </row>
    <row r="67" ht="15.75" customHeight="1">
      <c r="R67" s="27"/>
      <c r="T67" s="27"/>
      <c r="Z67" s="8">
        <f t="shared" si="6"/>
        <v>0</v>
      </c>
    </row>
    <row r="68" ht="15.75" customHeight="1">
      <c r="R68" s="27"/>
      <c r="T68" s="27"/>
      <c r="Z68" s="8">
        <f t="shared" si="6"/>
        <v>0</v>
      </c>
    </row>
    <row r="69" ht="15.75" customHeight="1">
      <c r="R69" s="27"/>
      <c r="T69" s="27"/>
      <c r="Z69" s="8">
        <f t="shared" si="6"/>
        <v>0</v>
      </c>
    </row>
    <row r="70" ht="15.75" customHeight="1">
      <c r="R70" s="27"/>
      <c r="T70" s="27"/>
      <c r="Z70" s="8">
        <f t="shared" si="6"/>
        <v>0</v>
      </c>
    </row>
    <row r="71" ht="15.75" customHeight="1">
      <c r="R71" s="27"/>
      <c r="T71" s="27"/>
      <c r="Z71" s="8">
        <f t="shared" si="6"/>
        <v>0</v>
      </c>
    </row>
    <row r="72" ht="15.75" customHeight="1">
      <c r="R72" s="27"/>
      <c r="T72" s="27"/>
      <c r="Z72" s="8">
        <f t="shared" si="6"/>
        <v>0</v>
      </c>
    </row>
    <row r="73" ht="15.75" customHeight="1">
      <c r="R73" s="27"/>
      <c r="T73" s="27"/>
      <c r="Z73" s="8">
        <f t="shared" si="6"/>
        <v>0</v>
      </c>
    </row>
    <row r="74" ht="15.75" customHeight="1">
      <c r="R74" s="27"/>
      <c r="T74" s="27"/>
      <c r="Z74" s="8">
        <f t="shared" si="6"/>
        <v>0</v>
      </c>
    </row>
    <row r="75" ht="15.75" customHeight="1">
      <c r="R75" s="27"/>
      <c r="T75" s="27"/>
      <c r="Z75" s="8">
        <f t="shared" si="6"/>
        <v>0</v>
      </c>
    </row>
    <row r="76" ht="15.75" customHeight="1">
      <c r="R76" s="27"/>
      <c r="T76" s="27"/>
      <c r="Z76" s="8">
        <f t="shared" si="6"/>
        <v>0</v>
      </c>
    </row>
    <row r="77" ht="15.75" customHeight="1">
      <c r="R77" s="27"/>
      <c r="T77" s="27"/>
      <c r="Z77" s="8">
        <f t="shared" si="6"/>
        <v>0</v>
      </c>
    </row>
    <row r="78" ht="15.75" customHeight="1">
      <c r="R78" s="27"/>
      <c r="T78" s="27"/>
      <c r="Z78" s="8">
        <f t="shared" si="6"/>
        <v>0</v>
      </c>
    </row>
    <row r="79" ht="15.75" customHeight="1">
      <c r="R79" s="27"/>
      <c r="T79" s="27"/>
      <c r="Z79" s="8">
        <f t="shared" si="6"/>
        <v>0</v>
      </c>
    </row>
    <row r="80" ht="15.75" customHeight="1">
      <c r="R80" s="27"/>
      <c r="T80" s="27"/>
      <c r="Z80" s="8">
        <f t="shared" si="6"/>
        <v>0</v>
      </c>
    </row>
    <row r="81" ht="15.75" customHeight="1">
      <c r="R81" s="27"/>
      <c r="T81" s="27"/>
      <c r="Z81" s="8">
        <f t="shared" si="6"/>
        <v>0</v>
      </c>
    </row>
    <row r="82" ht="15.75" customHeight="1">
      <c r="R82" s="27"/>
      <c r="T82" s="27"/>
      <c r="Z82" s="8">
        <f t="shared" si="6"/>
        <v>0</v>
      </c>
    </row>
    <row r="83" ht="15.75" customHeight="1">
      <c r="R83" s="27"/>
      <c r="T83" s="27"/>
      <c r="Z83" s="8">
        <f t="shared" si="6"/>
        <v>0</v>
      </c>
    </row>
    <row r="84" ht="15.75" customHeight="1">
      <c r="R84" s="27"/>
      <c r="T84" s="27"/>
      <c r="Z84" s="8">
        <f t="shared" si="6"/>
        <v>0</v>
      </c>
    </row>
    <row r="85" ht="15.75" customHeight="1">
      <c r="R85" s="27"/>
      <c r="T85" s="27"/>
      <c r="Z85" s="8">
        <f t="shared" si="6"/>
        <v>0</v>
      </c>
    </row>
    <row r="86" ht="15.75" customHeight="1">
      <c r="R86" s="27"/>
      <c r="T86" s="27"/>
      <c r="Z86" s="8">
        <f t="shared" si="6"/>
        <v>0</v>
      </c>
    </row>
    <row r="87" ht="15.75" customHeight="1">
      <c r="R87" s="27"/>
      <c r="T87" s="27"/>
      <c r="Z87" s="8">
        <f t="shared" si="6"/>
        <v>0</v>
      </c>
    </row>
    <row r="88" ht="15.75" customHeight="1">
      <c r="R88" s="27"/>
      <c r="T88" s="27"/>
      <c r="Z88" s="8">
        <f t="shared" si="6"/>
        <v>0</v>
      </c>
    </row>
    <row r="89" ht="15.75" customHeight="1">
      <c r="R89" s="27"/>
      <c r="T89" s="27"/>
      <c r="Z89" s="8">
        <f t="shared" si="6"/>
        <v>0</v>
      </c>
    </row>
    <row r="90" ht="15.75" customHeight="1">
      <c r="R90" s="27"/>
      <c r="T90" s="27"/>
      <c r="Z90" s="8">
        <f t="shared" si="6"/>
        <v>0</v>
      </c>
    </row>
    <row r="91" ht="15.75" customHeight="1">
      <c r="R91" s="27"/>
      <c r="T91" s="27"/>
      <c r="Z91" s="8">
        <f t="shared" si="6"/>
        <v>0</v>
      </c>
    </row>
    <row r="92" ht="15.75" customHeight="1">
      <c r="R92" s="27"/>
      <c r="T92" s="27"/>
      <c r="Z92" s="8">
        <f t="shared" si="6"/>
        <v>0</v>
      </c>
    </row>
    <row r="93" ht="15.75" customHeight="1">
      <c r="R93" s="27"/>
      <c r="T93" s="27"/>
      <c r="Z93" s="8">
        <f t="shared" si="6"/>
        <v>0</v>
      </c>
    </row>
    <row r="94" ht="15.75" customHeight="1">
      <c r="R94" s="27"/>
      <c r="T94" s="27"/>
      <c r="Z94" s="8">
        <f t="shared" si="6"/>
        <v>0</v>
      </c>
    </row>
    <row r="95" ht="15.75" customHeight="1">
      <c r="R95" s="27"/>
      <c r="T95" s="27"/>
      <c r="Z95" s="8">
        <f t="shared" si="6"/>
        <v>0</v>
      </c>
    </row>
    <row r="96" ht="15.75" customHeight="1">
      <c r="R96" s="27"/>
      <c r="T96" s="27"/>
      <c r="Z96" s="8">
        <f t="shared" si="6"/>
        <v>0</v>
      </c>
    </row>
    <row r="97" ht="15.75" customHeight="1">
      <c r="R97" s="27"/>
      <c r="T97" s="27"/>
      <c r="Z97" s="8">
        <f t="shared" si="6"/>
        <v>0</v>
      </c>
    </row>
    <row r="98" ht="15.75" customHeight="1">
      <c r="R98" s="27"/>
      <c r="T98" s="27"/>
      <c r="Z98" s="8">
        <f t="shared" si="6"/>
        <v>0</v>
      </c>
    </row>
    <row r="99" ht="15.75" customHeight="1">
      <c r="R99" s="27"/>
      <c r="T99" s="27"/>
      <c r="Z99" s="8">
        <f t="shared" si="6"/>
        <v>0</v>
      </c>
    </row>
    <row r="100" ht="15.75" customHeight="1">
      <c r="R100" s="27"/>
      <c r="T100" s="27"/>
      <c r="Z100" s="8">
        <f t="shared" si="6"/>
        <v>0</v>
      </c>
    </row>
    <row r="101" ht="15.75" customHeight="1">
      <c r="R101" s="27"/>
      <c r="T101" s="27"/>
      <c r="Z101" s="8">
        <f t="shared" si="6"/>
        <v>0</v>
      </c>
    </row>
    <row r="102" ht="15.75" customHeight="1">
      <c r="R102" s="27"/>
      <c r="T102" s="27"/>
      <c r="Z102" s="8">
        <f t="shared" si="6"/>
        <v>0</v>
      </c>
    </row>
    <row r="103" ht="15.75" customHeight="1">
      <c r="R103" s="27"/>
      <c r="T103" s="27"/>
      <c r="Z103" s="8">
        <f t="shared" si="6"/>
        <v>0</v>
      </c>
    </row>
    <row r="104" ht="15.75" customHeight="1">
      <c r="R104" s="27"/>
      <c r="T104" s="27"/>
      <c r="Z104" s="8">
        <f t="shared" si="6"/>
        <v>0</v>
      </c>
    </row>
    <row r="105" ht="15.75" customHeight="1">
      <c r="R105" s="27"/>
      <c r="T105" s="27"/>
      <c r="Z105" s="8">
        <f t="shared" si="6"/>
        <v>0</v>
      </c>
    </row>
    <row r="106" ht="15.75" customHeight="1">
      <c r="R106" s="27"/>
      <c r="T106" s="27"/>
      <c r="Z106" s="8">
        <f t="shared" si="6"/>
        <v>0</v>
      </c>
    </row>
    <row r="107" ht="15.75" customHeight="1">
      <c r="R107" s="27"/>
      <c r="T107" s="27"/>
      <c r="Z107" s="8">
        <f t="shared" si="6"/>
        <v>0</v>
      </c>
    </row>
    <row r="108" ht="15.75" customHeight="1">
      <c r="R108" s="27"/>
      <c r="T108" s="27"/>
      <c r="Z108" s="8">
        <f t="shared" si="6"/>
        <v>0</v>
      </c>
    </row>
    <row r="109" ht="15.75" customHeight="1">
      <c r="R109" s="27"/>
      <c r="T109" s="27"/>
      <c r="Z109" s="8">
        <f t="shared" si="6"/>
        <v>0</v>
      </c>
    </row>
    <row r="110" ht="15.75" customHeight="1">
      <c r="R110" s="27"/>
      <c r="T110" s="27"/>
      <c r="Z110" s="8">
        <f t="shared" si="6"/>
        <v>0</v>
      </c>
    </row>
    <row r="111" ht="15.75" customHeight="1">
      <c r="R111" s="27"/>
      <c r="T111" s="27"/>
      <c r="Z111" s="8">
        <f t="shared" si="6"/>
        <v>0</v>
      </c>
    </row>
    <row r="112" ht="15.75" customHeight="1">
      <c r="R112" s="27"/>
      <c r="T112" s="27"/>
      <c r="Z112" s="8">
        <f t="shared" si="6"/>
        <v>0</v>
      </c>
    </row>
    <row r="113" ht="15.75" customHeight="1">
      <c r="R113" s="27"/>
      <c r="T113" s="27"/>
      <c r="Z113" s="8">
        <f t="shared" si="6"/>
        <v>0</v>
      </c>
    </row>
    <row r="114" ht="15.75" customHeight="1">
      <c r="R114" s="27"/>
      <c r="T114" s="27"/>
      <c r="Z114" s="8">
        <f t="shared" si="6"/>
        <v>0</v>
      </c>
    </row>
    <row r="115" ht="15.75" customHeight="1">
      <c r="R115" s="27"/>
      <c r="T115" s="27"/>
      <c r="Z115" s="8">
        <f t="shared" si="6"/>
        <v>0</v>
      </c>
    </row>
    <row r="116" ht="15.75" customHeight="1">
      <c r="R116" s="27"/>
      <c r="T116" s="27"/>
      <c r="Z116" s="8">
        <f t="shared" si="6"/>
        <v>0</v>
      </c>
    </row>
    <row r="117" ht="15.75" customHeight="1">
      <c r="R117" s="27"/>
      <c r="T117" s="27"/>
      <c r="Z117" s="8">
        <f t="shared" si="6"/>
        <v>0</v>
      </c>
    </row>
    <row r="118" ht="15.75" customHeight="1">
      <c r="R118" s="27"/>
      <c r="T118" s="27"/>
      <c r="Z118" s="8">
        <f t="shared" si="6"/>
        <v>0</v>
      </c>
    </row>
    <row r="119" ht="15.75" customHeight="1">
      <c r="R119" s="27"/>
      <c r="T119" s="27"/>
      <c r="Z119" s="8">
        <f t="shared" si="6"/>
        <v>0</v>
      </c>
    </row>
    <row r="120" ht="15.75" customHeight="1">
      <c r="R120" s="27"/>
      <c r="T120" s="27"/>
      <c r="Z120" s="8">
        <f t="shared" si="6"/>
        <v>0</v>
      </c>
    </row>
    <row r="121" ht="15.75" customHeight="1">
      <c r="R121" s="27"/>
      <c r="T121" s="27"/>
    </row>
    <row r="122" ht="15.75" customHeight="1">
      <c r="R122" s="27"/>
      <c r="T122" s="27"/>
    </row>
    <row r="123" ht="15.75" customHeight="1">
      <c r="R123" s="27"/>
      <c r="T123" s="27"/>
    </row>
    <row r="124" ht="15.75" customHeight="1">
      <c r="R124" s="27"/>
      <c r="T124" s="27"/>
    </row>
    <row r="125" ht="15.75" customHeight="1">
      <c r="R125" s="27"/>
      <c r="T125" s="27"/>
    </row>
    <row r="126" ht="15.75" customHeight="1">
      <c r="R126" s="27"/>
      <c r="T126" s="27"/>
    </row>
    <row r="127" ht="15.75" customHeight="1">
      <c r="R127" s="27"/>
      <c r="T127" s="27"/>
    </row>
    <row r="128" ht="15.75" customHeight="1">
      <c r="R128" s="27"/>
      <c r="T128" s="27"/>
    </row>
    <row r="129" ht="15.75" customHeight="1">
      <c r="R129" s="27"/>
      <c r="T129" s="27"/>
    </row>
    <row r="130" ht="15.75" customHeight="1">
      <c r="R130" s="27"/>
      <c r="T130" s="27"/>
    </row>
    <row r="131" ht="15.75" customHeight="1">
      <c r="R131" s="27"/>
      <c r="T131" s="27"/>
    </row>
    <row r="132" ht="15.75" customHeight="1">
      <c r="R132" s="27"/>
      <c r="T132" s="27"/>
    </row>
    <row r="133" ht="15.75" customHeight="1">
      <c r="R133" s="27"/>
      <c r="T133" s="27"/>
    </row>
    <row r="134" ht="15.75" customHeight="1">
      <c r="R134" s="27"/>
      <c r="T134" s="27"/>
    </row>
    <row r="135" ht="15.75" customHeight="1">
      <c r="R135" s="27"/>
      <c r="T135" s="27"/>
    </row>
    <row r="136" ht="15.75" customHeight="1">
      <c r="R136" s="27"/>
      <c r="T136" s="27"/>
    </row>
    <row r="137" ht="15.75" customHeight="1">
      <c r="R137" s="27"/>
      <c r="T137" s="27"/>
    </row>
    <row r="138" ht="15.75" customHeight="1">
      <c r="R138" s="27"/>
      <c r="T138" s="27"/>
    </row>
    <row r="139" ht="15.75" customHeight="1">
      <c r="R139" s="27"/>
      <c r="T139" s="27"/>
    </row>
    <row r="140" ht="15.75" customHeight="1">
      <c r="R140" s="27"/>
      <c r="T140" s="27"/>
    </row>
    <row r="141" ht="15.75" customHeight="1">
      <c r="R141" s="27"/>
      <c r="T141" s="27"/>
    </row>
    <row r="142" ht="15.75" customHeight="1">
      <c r="R142" s="27"/>
      <c r="T142" s="27"/>
    </row>
    <row r="143" ht="15.75" customHeight="1">
      <c r="R143" s="27"/>
      <c r="T143" s="27"/>
    </row>
    <row r="144" ht="15.75" customHeight="1">
      <c r="R144" s="27"/>
      <c r="T144" s="27"/>
    </row>
    <row r="145" ht="15.75" customHeight="1">
      <c r="R145" s="27"/>
      <c r="T145" s="27"/>
    </row>
    <row r="146" ht="15.75" customHeight="1">
      <c r="R146" s="27"/>
      <c r="T146" s="27"/>
    </row>
    <row r="147" ht="15.75" customHeight="1">
      <c r="R147" s="27"/>
      <c r="T147" s="27"/>
    </row>
    <row r="148" ht="15.75" customHeight="1">
      <c r="R148" s="27"/>
      <c r="T148" s="27"/>
    </row>
    <row r="149" ht="15.75" customHeight="1">
      <c r="R149" s="27"/>
      <c r="T149" s="27"/>
    </row>
    <row r="150" ht="15.75" customHeight="1">
      <c r="R150" s="27"/>
      <c r="T150" s="27"/>
    </row>
    <row r="151" ht="15.75" customHeight="1">
      <c r="R151" s="27"/>
      <c r="T151" s="27"/>
    </row>
    <row r="152" ht="15.75" customHeight="1">
      <c r="R152" s="27"/>
      <c r="T152" s="27"/>
    </row>
    <row r="153" ht="15.75" customHeight="1">
      <c r="R153" s="27"/>
      <c r="T153" s="27"/>
    </row>
    <row r="154" ht="15.75" customHeight="1">
      <c r="R154" s="27"/>
      <c r="T154" s="27"/>
    </row>
    <row r="155" ht="15.75" customHeight="1">
      <c r="R155" s="27"/>
      <c r="T155" s="27"/>
    </row>
    <row r="156" ht="15.75" customHeight="1">
      <c r="R156" s="27"/>
      <c r="T156" s="27"/>
    </row>
    <row r="157" ht="15.75" customHeight="1">
      <c r="R157" s="27"/>
      <c r="T157" s="27"/>
    </row>
    <row r="158" ht="15.75" customHeight="1">
      <c r="R158" s="27"/>
      <c r="T158" s="27"/>
    </row>
    <row r="159" ht="15.75" customHeight="1">
      <c r="R159" s="27"/>
      <c r="T159" s="27"/>
    </row>
    <row r="160" ht="15.75" customHeight="1">
      <c r="R160" s="27"/>
      <c r="T160" s="27"/>
    </row>
    <row r="161" ht="15.75" customHeight="1">
      <c r="R161" s="27"/>
      <c r="T161" s="27"/>
    </row>
    <row r="162" ht="15.75" customHeight="1">
      <c r="R162" s="27"/>
      <c r="T162" s="27"/>
    </row>
    <row r="163" ht="15.75" customHeight="1">
      <c r="R163" s="27"/>
      <c r="T163" s="27"/>
    </row>
    <row r="164" ht="15.75" customHeight="1">
      <c r="R164" s="27"/>
      <c r="T164" s="27"/>
    </row>
    <row r="165" ht="15.75" customHeight="1">
      <c r="R165" s="27"/>
      <c r="T165" s="27"/>
    </row>
    <row r="166" ht="15.75" customHeight="1">
      <c r="R166" s="27"/>
      <c r="T166" s="27"/>
    </row>
    <row r="167" ht="15.75" customHeight="1">
      <c r="R167" s="27"/>
      <c r="T167" s="27"/>
    </row>
    <row r="168" ht="15.75" customHeight="1">
      <c r="R168" s="27"/>
      <c r="T168" s="27"/>
    </row>
    <row r="169" ht="15.75" customHeight="1">
      <c r="R169" s="27"/>
      <c r="T169" s="27"/>
    </row>
    <row r="170" ht="15.75" customHeight="1">
      <c r="R170" s="27"/>
      <c r="T170" s="27"/>
    </row>
    <row r="171" ht="15.75" customHeight="1">
      <c r="R171" s="27"/>
      <c r="T171" s="27"/>
    </row>
    <row r="172" ht="15.75" customHeight="1">
      <c r="R172" s="27"/>
      <c r="T172" s="27"/>
    </row>
    <row r="173" ht="15.75" customHeight="1">
      <c r="R173" s="27"/>
      <c r="T173" s="27"/>
    </row>
    <row r="174" ht="15.75" customHeight="1">
      <c r="R174" s="27"/>
      <c r="T174" s="27"/>
    </row>
    <row r="175" ht="15.75" customHeight="1">
      <c r="R175" s="27"/>
      <c r="T175" s="27"/>
    </row>
    <row r="176" ht="15.75" customHeight="1">
      <c r="R176" s="27"/>
      <c r="T176" s="27"/>
    </row>
    <row r="177" ht="15.75" customHeight="1">
      <c r="R177" s="27"/>
      <c r="T177" s="27"/>
    </row>
    <row r="178" ht="15.75" customHeight="1">
      <c r="R178" s="27"/>
      <c r="T178" s="27"/>
    </row>
    <row r="179" ht="15.75" customHeight="1">
      <c r="R179" s="27"/>
      <c r="T179" s="27"/>
    </row>
    <row r="180" ht="15.75" customHeight="1">
      <c r="R180" s="27"/>
      <c r="T180" s="27"/>
    </row>
    <row r="181" ht="15.75" customHeight="1">
      <c r="R181" s="27"/>
      <c r="T181" s="27"/>
    </row>
    <row r="182" ht="15.75" customHeight="1">
      <c r="R182" s="27"/>
      <c r="T182" s="27"/>
    </row>
    <row r="183" ht="15.75" customHeight="1">
      <c r="R183" s="27"/>
      <c r="T183" s="27"/>
    </row>
    <row r="184" ht="15.75" customHeight="1">
      <c r="R184" s="27"/>
      <c r="T184" s="27"/>
    </row>
    <row r="185" ht="15.75" customHeight="1">
      <c r="R185" s="27"/>
      <c r="T185" s="27"/>
    </row>
    <row r="186" ht="15.75" customHeight="1">
      <c r="R186" s="27"/>
      <c r="T186" s="27"/>
    </row>
    <row r="187" ht="15.75" customHeight="1">
      <c r="R187" s="27"/>
      <c r="T187" s="27"/>
    </row>
    <row r="188" ht="15.75" customHeight="1">
      <c r="R188" s="27"/>
      <c r="T188" s="27"/>
    </row>
    <row r="189" ht="15.75" customHeight="1">
      <c r="R189" s="27"/>
      <c r="T189" s="27"/>
    </row>
    <row r="190" ht="15.75" customHeight="1">
      <c r="R190" s="27"/>
      <c r="T190" s="27"/>
    </row>
    <row r="191" ht="15.75" customHeight="1">
      <c r="R191" s="27"/>
      <c r="T191" s="27"/>
    </row>
    <row r="192" ht="15.75" customHeight="1">
      <c r="R192" s="27"/>
      <c r="T192" s="27"/>
    </row>
    <row r="193" ht="15.75" customHeight="1">
      <c r="R193" s="27"/>
      <c r="T193" s="27"/>
    </row>
    <row r="194" ht="15.75" customHeight="1">
      <c r="R194" s="27"/>
      <c r="T194" s="27"/>
    </row>
    <row r="195" ht="15.75" customHeight="1">
      <c r="R195" s="27"/>
      <c r="T195" s="27"/>
    </row>
    <row r="196" ht="15.75" customHeight="1">
      <c r="R196" s="27"/>
      <c r="T196" s="27"/>
    </row>
    <row r="197" ht="15.75" customHeight="1">
      <c r="R197" s="27"/>
      <c r="T197" s="27"/>
    </row>
    <row r="198" ht="15.75" customHeight="1">
      <c r="R198" s="27"/>
      <c r="T198" s="27"/>
    </row>
    <row r="199" ht="15.75" customHeight="1">
      <c r="R199" s="27"/>
      <c r="T199" s="27"/>
    </row>
    <row r="200" ht="15.75" customHeight="1">
      <c r="R200" s="27"/>
      <c r="T200" s="27"/>
    </row>
    <row r="201" ht="15.75" customHeight="1">
      <c r="R201" s="27"/>
      <c r="T201" s="27"/>
    </row>
    <row r="202" ht="15.75" customHeight="1">
      <c r="R202" s="27"/>
      <c r="T202" s="27"/>
    </row>
    <row r="203" ht="15.75" customHeight="1">
      <c r="R203" s="27"/>
      <c r="T203" s="27"/>
    </row>
    <row r="204" ht="15.75" customHeight="1">
      <c r="R204" s="27"/>
      <c r="T204" s="27"/>
    </row>
    <row r="205" ht="15.75" customHeight="1">
      <c r="R205" s="27"/>
      <c r="T205" s="27"/>
    </row>
    <row r="206" ht="15.75" customHeight="1">
      <c r="R206" s="27"/>
      <c r="T206" s="27"/>
    </row>
    <row r="207" ht="15.75" customHeight="1">
      <c r="R207" s="27"/>
      <c r="T207" s="27"/>
    </row>
    <row r="208" ht="15.75" customHeight="1">
      <c r="R208" s="27"/>
      <c r="T208" s="27"/>
    </row>
    <row r="209" ht="15.75" customHeight="1">
      <c r="R209" s="27"/>
      <c r="T209" s="27"/>
    </row>
    <row r="210" ht="15.75" customHeight="1">
      <c r="R210" s="27"/>
      <c r="T210" s="27"/>
    </row>
    <row r="211" ht="15.75" customHeight="1">
      <c r="R211" s="27"/>
      <c r="T211" s="27"/>
    </row>
    <row r="212" ht="15.75" customHeight="1">
      <c r="R212" s="27"/>
      <c r="T212" s="27"/>
    </row>
    <row r="213" ht="15.75" customHeight="1">
      <c r="R213" s="27"/>
      <c r="T213" s="27"/>
    </row>
    <row r="214" ht="15.75" customHeight="1">
      <c r="R214" s="27"/>
      <c r="T214" s="27"/>
    </row>
    <row r="215" ht="15.75" customHeight="1">
      <c r="R215" s="27"/>
      <c r="T215" s="27"/>
    </row>
    <row r="216" ht="15.75" customHeight="1">
      <c r="R216" s="27"/>
      <c r="T216" s="27"/>
    </row>
    <row r="217" ht="15.75" customHeight="1">
      <c r="R217" s="27"/>
      <c r="T217" s="27"/>
    </row>
    <row r="218" ht="15.75" customHeight="1">
      <c r="R218" s="27"/>
      <c r="T218" s="27"/>
    </row>
    <row r="219" ht="15.75" customHeight="1">
      <c r="R219" s="27"/>
      <c r="T219" s="27"/>
    </row>
    <row r="220" ht="15.75" customHeight="1">
      <c r="R220" s="27"/>
      <c r="T220" s="27"/>
    </row>
    <row r="221" ht="15.75" customHeight="1">
      <c r="R221" s="27"/>
      <c r="T221" s="27"/>
    </row>
    <row r="222" ht="15.75" customHeight="1">
      <c r="R222" s="27"/>
      <c r="T222" s="27"/>
    </row>
    <row r="223" ht="15.75" customHeight="1">
      <c r="R223" s="27"/>
      <c r="T223" s="27"/>
    </row>
    <row r="224" ht="15.75" customHeight="1">
      <c r="R224" s="27"/>
      <c r="T224" s="27"/>
    </row>
    <row r="225" ht="15.75" customHeight="1">
      <c r="R225" s="27"/>
      <c r="T225" s="27"/>
    </row>
    <row r="226" ht="15.75" customHeight="1">
      <c r="R226" s="27"/>
      <c r="T226" s="27"/>
    </row>
    <row r="227" ht="15.75" customHeight="1">
      <c r="R227" s="27"/>
      <c r="T227" s="27"/>
    </row>
    <row r="228" ht="15.75" customHeight="1">
      <c r="R228" s="27"/>
      <c r="T228" s="27"/>
    </row>
    <row r="229" ht="15.75" customHeight="1">
      <c r="R229" s="27"/>
      <c r="T229" s="27"/>
    </row>
    <row r="230" ht="15.75" customHeight="1">
      <c r="R230" s="27"/>
      <c r="T230" s="27"/>
    </row>
    <row r="231" ht="15.75" customHeight="1">
      <c r="R231" s="27"/>
      <c r="T231" s="27"/>
    </row>
    <row r="232" ht="15.75" customHeight="1">
      <c r="R232" s="27"/>
      <c r="T232" s="27"/>
    </row>
    <row r="233" ht="15.75" customHeight="1">
      <c r="R233" s="27"/>
      <c r="T233" s="27"/>
    </row>
    <row r="234" ht="15.75" customHeight="1">
      <c r="R234" s="27"/>
      <c r="T234" s="27"/>
    </row>
    <row r="235" ht="15.75" customHeight="1">
      <c r="R235" s="27"/>
      <c r="T235" s="27"/>
    </row>
    <row r="236" ht="15.75" customHeight="1">
      <c r="R236" s="27"/>
      <c r="T236" s="27"/>
    </row>
    <row r="237" ht="15.75" customHeight="1">
      <c r="R237" s="27"/>
      <c r="T237" s="27"/>
    </row>
    <row r="238" ht="15.75" customHeight="1">
      <c r="R238" s="27"/>
      <c r="T238" s="27"/>
    </row>
    <row r="239" ht="15.75" customHeight="1">
      <c r="R239" s="27"/>
      <c r="T239" s="27"/>
    </row>
    <row r="240" ht="15.75" customHeight="1">
      <c r="R240" s="27"/>
      <c r="T240" s="27"/>
    </row>
    <row r="241" ht="15.75" customHeight="1">
      <c r="R241" s="27"/>
      <c r="T241" s="27"/>
    </row>
    <row r="242" ht="15.75" customHeight="1">
      <c r="R242" s="27"/>
      <c r="T242" s="27"/>
    </row>
    <row r="243" ht="15.75" customHeight="1">
      <c r="R243" s="27"/>
      <c r="T243" s="27"/>
    </row>
    <row r="244" ht="15.75" customHeight="1">
      <c r="R244" s="27"/>
      <c r="T244" s="27"/>
    </row>
    <row r="245" ht="15.75" customHeight="1">
      <c r="R245" s="27"/>
      <c r="T245" s="27"/>
    </row>
    <row r="246" ht="15.75" customHeight="1">
      <c r="R246" s="27"/>
      <c r="T246" s="27"/>
    </row>
    <row r="247" ht="15.75" customHeight="1">
      <c r="R247" s="27"/>
      <c r="T247" s="27"/>
    </row>
    <row r="248" ht="15.75" customHeight="1">
      <c r="R248" s="27"/>
      <c r="T248" s="27"/>
    </row>
    <row r="249" ht="15.75" customHeight="1">
      <c r="R249" s="27"/>
      <c r="T249" s="27"/>
    </row>
    <row r="250" ht="15.75" customHeight="1">
      <c r="R250" s="27"/>
      <c r="T250" s="27"/>
    </row>
    <row r="251" ht="15.75" customHeight="1">
      <c r="R251" s="27"/>
      <c r="T251" s="27"/>
    </row>
    <row r="252" ht="15.75" customHeight="1">
      <c r="R252" s="27"/>
      <c r="T252" s="27"/>
    </row>
    <row r="253" ht="15.75" customHeight="1">
      <c r="R253" s="27"/>
      <c r="T253" s="27"/>
    </row>
    <row r="254" ht="15.75" customHeight="1">
      <c r="R254" s="27"/>
      <c r="T254" s="27"/>
    </row>
    <row r="255" ht="15.75" customHeight="1">
      <c r="R255" s="27"/>
      <c r="T255" s="27"/>
    </row>
    <row r="256" ht="15.75" customHeight="1">
      <c r="R256" s="27"/>
      <c r="T256" s="27"/>
    </row>
    <row r="257" ht="15.75" customHeight="1">
      <c r="R257" s="27"/>
      <c r="T257" s="27"/>
    </row>
    <row r="258" ht="15.75" customHeight="1">
      <c r="R258" s="27"/>
      <c r="T258" s="27"/>
    </row>
    <row r="259" ht="15.75" customHeight="1">
      <c r="R259" s="27"/>
      <c r="T259" s="27"/>
    </row>
    <row r="260" ht="15.75" customHeight="1">
      <c r="R260" s="27"/>
      <c r="T260" s="27"/>
    </row>
    <row r="261" ht="15.75" customHeight="1">
      <c r="R261" s="27"/>
      <c r="T261" s="27"/>
    </row>
    <row r="262" ht="15.75" customHeight="1">
      <c r="R262" s="27"/>
      <c r="T262" s="27"/>
    </row>
    <row r="263" ht="15.75" customHeight="1">
      <c r="R263" s="27"/>
      <c r="T263" s="27"/>
    </row>
    <row r="264" ht="15.75" customHeight="1">
      <c r="R264" s="27"/>
      <c r="T264" s="27"/>
    </row>
    <row r="265" ht="15.75" customHeight="1">
      <c r="R265" s="27"/>
      <c r="T265" s="27"/>
    </row>
    <row r="266" ht="15.75" customHeight="1">
      <c r="R266" s="27"/>
      <c r="T266" s="27"/>
    </row>
    <row r="267" ht="15.75" customHeight="1">
      <c r="R267" s="27"/>
      <c r="T267" s="27"/>
    </row>
    <row r="268" ht="15.75" customHeight="1">
      <c r="R268" s="27"/>
      <c r="T268" s="27"/>
    </row>
    <row r="269" ht="15.75" customHeight="1">
      <c r="R269" s="27"/>
      <c r="T269" s="27"/>
    </row>
    <row r="270" ht="15.75" customHeight="1">
      <c r="R270" s="27"/>
      <c r="T270" s="27"/>
    </row>
    <row r="271" ht="15.75" customHeight="1">
      <c r="R271" s="27"/>
      <c r="T271" s="27"/>
    </row>
    <row r="272" ht="15.75" customHeight="1">
      <c r="R272" s="27"/>
      <c r="T272" s="27"/>
    </row>
    <row r="273" ht="15.75" customHeight="1">
      <c r="R273" s="27"/>
      <c r="T273" s="27"/>
    </row>
    <row r="274" ht="15.75" customHeight="1">
      <c r="R274" s="27"/>
      <c r="T274" s="27"/>
    </row>
    <row r="275" ht="15.75" customHeight="1">
      <c r="R275" s="27"/>
      <c r="T275" s="27"/>
    </row>
    <row r="276" ht="15.75" customHeight="1">
      <c r="R276" s="27"/>
      <c r="T276" s="27"/>
    </row>
    <row r="277" ht="15.75" customHeight="1">
      <c r="R277" s="27"/>
      <c r="T277" s="27"/>
    </row>
    <row r="278" ht="15.75" customHeight="1">
      <c r="R278" s="27"/>
      <c r="T278" s="27"/>
    </row>
    <row r="279" ht="15.75" customHeight="1">
      <c r="R279" s="27"/>
      <c r="T279" s="27"/>
    </row>
    <row r="280" ht="15.75" customHeight="1">
      <c r="R280" s="27"/>
      <c r="T280" s="27"/>
    </row>
    <row r="281" ht="15.75" customHeight="1">
      <c r="R281" s="27"/>
      <c r="T281" s="27"/>
    </row>
    <row r="282" ht="15.75" customHeight="1">
      <c r="R282" s="27"/>
      <c r="T282" s="27"/>
    </row>
    <row r="283" ht="15.75" customHeight="1">
      <c r="R283" s="27"/>
      <c r="T283" s="27"/>
    </row>
    <row r="284" ht="15.75" customHeight="1">
      <c r="R284" s="27"/>
      <c r="T284" s="27"/>
    </row>
    <row r="285" ht="15.75" customHeight="1">
      <c r="R285" s="27"/>
      <c r="T285" s="27"/>
    </row>
    <row r="286" ht="15.75" customHeight="1">
      <c r="R286" s="27"/>
      <c r="T286" s="27"/>
    </row>
    <row r="287" ht="15.75" customHeight="1">
      <c r="R287" s="27"/>
      <c r="T287" s="27"/>
    </row>
    <row r="288" ht="15.75" customHeight="1">
      <c r="R288" s="27"/>
      <c r="T288" s="27"/>
    </row>
    <row r="289" ht="15.75" customHeight="1">
      <c r="R289" s="27"/>
      <c r="T289" s="27"/>
    </row>
    <row r="290" ht="15.75" customHeight="1">
      <c r="R290" s="27"/>
      <c r="T290" s="27"/>
    </row>
    <row r="291" ht="15.75" customHeight="1">
      <c r="R291" s="27"/>
      <c r="T291" s="27"/>
    </row>
    <row r="292" ht="15.75" customHeight="1">
      <c r="R292" s="27"/>
      <c r="T292" s="27"/>
    </row>
    <row r="293" ht="15.75" customHeight="1">
      <c r="R293" s="27"/>
      <c r="T293" s="27"/>
    </row>
    <row r="294" ht="15.75" customHeight="1">
      <c r="R294" s="27"/>
      <c r="T294" s="27"/>
    </row>
    <row r="295" ht="15.75" customHeight="1">
      <c r="R295" s="27"/>
      <c r="T295" s="27"/>
    </row>
    <row r="296" ht="15.75" customHeight="1">
      <c r="R296" s="27"/>
      <c r="T296" s="27"/>
    </row>
    <row r="297" ht="15.75" customHeight="1">
      <c r="R297" s="27"/>
      <c r="T297" s="27"/>
    </row>
    <row r="298" ht="15.75" customHeight="1">
      <c r="R298" s="27"/>
      <c r="T298" s="27"/>
    </row>
    <row r="299" ht="15.75" customHeight="1">
      <c r="R299" s="27"/>
      <c r="T299" s="27"/>
    </row>
    <row r="300" ht="15.75" customHeight="1">
      <c r="R300" s="27"/>
      <c r="T300" s="27"/>
    </row>
    <row r="301" ht="15.75" customHeight="1">
      <c r="R301" s="27"/>
      <c r="T301" s="27"/>
    </row>
    <row r="302" ht="15.75" customHeight="1">
      <c r="R302" s="27"/>
      <c r="T302" s="27"/>
    </row>
    <row r="303" ht="15.75" customHeight="1">
      <c r="R303" s="27"/>
      <c r="T303" s="27"/>
    </row>
    <row r="304" ht="15.75" customHeight="1">
      <c r="R304" s="27"/>
      <c r="T304" s="27"/>
    </row>
    <row r="305" ht="15.75" customHeight="1">
      <c r="R305" s="27"/>
      <c r="T305" s="27"/>
    </row>
    <row r="306" ht="15.75" customHeight="1">
      <c r="R306" s="27"/>
      <c r="T306" s="27"/>
    </row>
    <row r="307" ht="15.75" customHeight="1">
      <c r="R307" s="27"/>
      <c r="T307" s="27"/>
    </row>
    <row r="308" ht="15.75" customHeight="1">
      <c r="R308" s="27"/>
      <c r="T308" s="27"/>
    </row>
    <row r="309" ht="15.75" customHeight="1">
      <c r="R309" s="27"/>
      <c r="T309" s="27"/>
    </row>
    <row r="310" ht="15.75" customHeight="1">
      <c r="R310" s="27"/>
      <c r="T310" s="27"/>
    </row>
    <row r="311" ht="15.75" customHeight="1">
      <c r="R311" s="27"/>
      <c r="T311" s="27"/>
    </row>
    <row r="312" ht="15.75" customHeight="1">
      <c r="R312" s="27"/>
      <c r="T312" s="27"/>
    </row>
    <row r="313" ht="15.75" customHeight="1">
      <c r="R313" s="27"/>
      <c r="T313" s="27"/>
    </row>
    <row r="314" ht="15.75" customHeight="1">
      <c r="R314" s="27"/>
      <c r="T314" s="27"/>
    </row>
    <row r="315" ht="15.75" customHeight="1">
      <c r="R315" s="27"/>
      <c r="T315" s="27"/>
    </row>
    <row r="316" ht="15.75" customHeight="1">
      <c r="R316" s="27"/>
      <c r="T316" s="27"/>
    </row>
    <row r="317" ht="15.75" customHeight="1">
      <c r="R317" s="27"/>
      <c r="T317" s="27"/>
    </row>
    <row r="318" ht="15.75" customHeight="1">
      <c r="R318" s="27"/>
      <c r="T318" s="27"/>
    </row>
    <row r="319" ht="15.75" customHeight="1">
      <c r="R319" s="27"/>
      <c r="T319" s="27"/>
    </row>
    <row r="320" ht="15.75" customHeight="1">
      <c r="R320" s="27"/>
      <c r="T320" s="27"/>
    </row>
    <row r="321" ht="15.75" customHeight="1">
      <c r="R321" s="27"/>
      <c r="T321" s="27"/>
    </row>
    <row r="322" ht="15.75" customHeight="1">
      <c r="R322" s="27"/>
      <c r="T322" s="27"/>
    </row>
    <row r="323" ht="15.75" customHeight="1">
      <c r="R323" s="27"/>
      <c r="T323" s="27"/>
    </row>
    <row r="324" ht="15.75" customHeight="1">
      <c r="R324" s="27"/>
      <c r="T324" s="27"/>
    </row>
    <row r="325" ht="15.75" customHeight="1">
      <c r="R325" s="27"/>
      <c r="T325" s="27"/>
    </row>
    <row r="326" ht="15.75" customHeight="1">
      <c r="R326" s="27"/>
      <c r="T326" s="27"/>
    </row>
    <row r="327" ht="15.75" customHeight="1">
      <c r="R327" s="27"/>
      <c r="T327" s="27"/>
    </row>
    <row r="328" ht="15.75" customHeight="1">
      <c r="R328" s="27"/>
      <c r="T328" s="27"/>
    </row>
    <row r="329" ht="15.75" customHeight="1">
      <c r="R329" s="27"/>
      <c r="T329" s="27"/>
    </row>
    <row r="330" ht="15.75" customHeight="1">
      <c r="R330" s="27"/>
      <c r="T330" s="27"/>
    </row>
    <row r="331" ht="15.75" customHeight="1">
      <c r="R331" s="27"/>
      <c r="T331" s="27"/>
    </row>
    <row r="332" ht="15.75" customHeight="1">
      <c r="R332" s="27"/>
      <c r="T332" s="27"/>
    </row>
    <row r="333" ht="15.75" customHeight="1">
      <c r="R333" s="27"/>
      <c r="T333" s="27"/>
    </row>
    <row r="334" ht="15.75" customHeight="1">
      <c r="R334" s="27"/>
      <c r="T334" s="27"/>
    </row>
    <row r="335" ht="15.75" customHeight="1">
      <c r="R335" s="27"/>
      <c r="T335" s="27"/>
    </row>
    <row r="336" ht="15.75" customHeight="1">
      <c r="R336" s="27"/>
      <c r="T336" s="27"/>
    </row>
    <row r="337" ht="15.75" customHeight="1">
      <c r="R337" s="27"/>
      <c r="T337" s="27"/>
    </row>
    <row r="338" ht="15.75" customHeight="1">
      <c r="R338" s="27"/>
      <c r="T338" s="27"/>
    </row>
    <row r="339" ht="15.75" customHeight="1">
      <c r="R339" s="27"/>
      <c r="T339" s="27"/>
    </row>
    <row r="340" ht="15.75" customHeight="1">
      <c r="R340" s="27"/>
      <c r="T340" s="27"/>
    </row>
    <row r="341" ht="15.75" customHeight="1">
      <c r="R341" s="27"/>
      <c r="T341" s="27"/>
    </row>
    <row r="342" ht="15.75" customHeight="1">
      <c r="R342" s="27"/>
      <c r="T342" s="27"/>
    </row>
    <row r="343" ht="15.75" customHeight="1">
      <c r="R343" s="27"/>
      <c r="T343" s="27"/>
    </row>
    <row r="344" ht="15.75" customHeight="1">
      <c r="R344" s="27"/>
      <c r="T344" s="27"/>
    </row>
    <row r="345" ht="15.75" customHeight="1">
      <c r="R345" s="27"/>
      <c r="T345" s="27"/>
    </row>
    <row r="346" ht="15.75" customHeight="1">
      <c r="R346" s="27"/>
      <c r="T346" s="27"/>
    </row>
    <row r="347" ht="15.75" customHeight="1">
      <c r="R347" s="27"/>
      <c r="T347" s="27"/>
    </row>
    <row r="348" ht="15.75" customHeight="1">
      <c r="R348" s="27"/>
      <c r="T348" s="27"/>
    </row>
    <row r="349" ht="15.75" customHeight="1">
      <c r="R349" s="27"/>
      <c r="T349" s="27"/>
    </row>
    <row r="350" ht="15.75" customHeight="1">
      <c r="R350" s="27"/>
      <c r="T350" s="27"/>
    </row>
    <row r="351" ht="15.75" customHeight="1">
      <c r="R351" s="27"/>
      <c r="T351" s="27"/>
    </row>
    <row r="352" ht="15.75" customHeight="1">
      <c r="R352" s="27"/>
      <c r="T352" s="27"/>
    </row>
    <row r="353" ht="15.75" customHeight="1">
      <c r="R353" s="27"/>
      <c r="T353" s="27"/>
    </row>
    <row r="354" ht="15.75" customHeight="1">
      <c r="R354" s="27"/>
      <c r="T354" s="27"/>
    </row>
    <row r="355" ht="15.75" customHeight="1">
      <c r="R355" s="27"/>
      <c r="T355" s="27"/>
    </row>
    <row r="356" ht="15.75" customHeight="1">
      <c r="R356" s="27"/>
      <c r="T356" s="27"/>
    </row>
    <row r="357" ht="15.75" customHeight="1">
      <c r="R357" s="27"/>
      <c r="T357" s="27"/>
    </row>
    <row r="358" ht="15.75" customHeight="1">
      <c r="R358" s="27"/>
      <c r="T358" s="27"/>
    </row>
    <row r="359" ht="15.75" customHeight="1">
      <c r="R359" s="27"/>
      <c r="T359" s="27"/>
    </row>
    <row r="360" ht="15.75" customHeight="1">
      <c r="R360" s="27"/>
      <c r="T360" s="27"/>
    </row>
    <row r="361" ht="15.75" customHeight="1">
      <c r="R361" s="27"/>
      <c r="T361" s="27"/>
    </row>
    <row r="362" ht="15.75" customHeight="1">
      <c r="R362" s="27"/>
      <c r="T362" s="27"/>
    </row>
    <row r="363" ht="15.75" customHeight="1">
      <c r="R363" s="27"/>
      <c r="T363" s="27"/>
    </row>
    <row r="364" ht="15.75" customHeight="1">
      <c r="R364" s="27"/>
      <c r="T364" s="27"/>
    </row>
    <row r="365" ht="15.75" customHeight="1">
      <c r="R365" s="27"/>
      <c r="T365" s="27"/>
    </row>
    <row r="366" ht="15.75" customHeight="1">
      <c r="R366" s="27"/>
      <c r="T366" s="27"/>
    </row>
    <row r="367" ht="15.75" customHeight="1">
      <c r="R367" s="27"/>
      <c r="T367" s="27"/>
    </row>
    <row r="368" ht="15.75" customHeight="1">
      <c r="R368" s="27"/>
      <c r="T368" s="27"/>
    </row>
    <row r="369" ht="15.75" customHeight="1">
      <c r="R369" s="27"/>
      <c r="T369" s="27"/>
    </row>
    <row r="370" ht="15.75" customHeight="1">
      <c r="R370" s="27"/>
      <c r="T370" s="27"/>
    </row>
    <row r="371" ht="15.75" customHeight="1">
      <c r="R371" s="27"/>
      <c r="T371" s="27"/>
    </row>
    <row r="372" ht="15.75" customHeight="1">
      <c r="R372" s="27"/>
      <c r="T372" s="27"/>
    </row>
    <row r="373" ht="15.75" customHeight="1">
      <c r="R373" s="27"/>
      <c r="T373" s="27"/>
    </row>
    <row r="374" ht="15.75" customHeight="1">
      <c r="R374" s="27"/>
      <c r="T374" s="27"/>
    </row>
    <row r="375" ht="15.75" customHeight="1">
      <c r="R375" s="27"/>
      <c r="T375" s="27"/>
    </row>
    <row r="376" ht="15.75" customHeight="1">
      <c r="R376" s="27"/>
      <c r="T376" s="27"/>
    </row>
    <row r="377" ht="15.75" customHeight="1">
      <c r="R377" s="27"/>
      <c r="T377" s="27"/>
    </row>
    <row r="378" ht="15.75" customHeight="1">
      <c r="R378" s="27"/>
      <c r="T378" s="27"/>
    </row>
    <row r="379" ht="15.75" customHeight="1">
      <c r="R379" s="27"/>
      <c r="T379" s="27"/>
    </row>
    <row r="380" ht="15.75" customHeight="1">
      <c r="R380" s="27"/>
      <c r="T380" s="27"/>
    </row>
    <row r="381" ht="15.75" customHeight="1">
      <c r="R381" s="27"/>
      <c r="T381" s="27"/>
    </row>
    <row r="382" ht="15.75" customHeight="1">
      <c r="R382" s="27"/>
      <c r="T382" s="27"/>
    </row>
    <row r="383" ht="15.75" customHeight="1">
      <c r="R383" s="27"/>
      <c r="T383" s="27"/>
    </row>
    <row r="384" ht="15.75" customHeight="1">
      <c r="R384" s="27"/>
      <c r="T384" s="27"/>
    </row>
    <row r="385" ht="15.75" customHeight="1">
      <c r="R385" s="27"/>
      <c r="T385" s="27"/>
    </row>
    <row r="386" ht="15.75" customHeight="1">
      <c r="R386" s="27"/>
      <c r="T386" s="27"/>
    </row>
    <row r="387" ht="15.75" customHeight="1">
      <c r="R387" s="27"/>
      <c r="T387" s="27"/>
    </row>
    <row r="388" ht="15.75" customHeight="1">
      <c r="R388" s="27"/>
      <c r="T388" s="27"/>
    </row>
    <row r="389" ht="15.75" customHeight="1">
      <c r="R389" s="27"/>
      <c r="T389" s="27"/>
    </row>
    <row r="390" ht="15.75" customHeight="1">
      <c r="R390" s="27"/>
      <c r="T390" s="27"/>
    </row>
    <row r="391" ht="15.75" customHeight="1">
      <c r="R391" s="27"/>
      <c r="T391" s="27"/>
    </row>
    <row r="392" ht="15.75" customHeight="1">
      <c r="R392" s="27"/>
      <c r="T392" s="27"/>
    </row>
    <row r="393" ht="15.75" customHeight="1">
      <c r="R393" s="27"/>
      <c r="T393" s="27"/>
    </row>
    <row r="394" ht="15.75" customHeight="1">
      <c r="R394" s="27"/>
      <c r="T394" s="27"/>
    </row>
    <row r="395" ht="15.75" customHeight="1">
      <c r="R395" s="27"/>
      <c r="T395" s="27"/>
    </row>
    <row r="396" ht="15.75" customHeight="1">
      <c r="R396" s="27"/>
      <c r="T396" s="27"/>
    </row>
    <row r="397" ht="15.75" customHeight="1">
      <c r="R397" s="27"/>
      <c r="T397" s="27"/>
    </row>
    <row r="398" ht="15.75" customHeight="1">
      <c r="R398" s="27"/>
      <c r="T398" s="27"/>
    </row>
    <row r="399" ht="15.75" customHeight="1">
      <c r="R399" s="27"/>
      <c r="T399" s="27"/>
    </row>
    <row r="400" ht="15.75" customHeight="1">
      <c r="R400" s="27"/>
      <c r="T400" s="27"/>
    </row>
    <row r="401" ht="15.75" customHeight="1">
      <c r="R401" s="27"/>
      <c r="T401" s="27"/>
    </row>
    <row r="402" ht="15.75" customHeight="1">
      <c r="R402" s="27"/>
      <c r="T402" s="27"/>
    </row>
    <row r="403" ht="15.75" customHeight="1">
      <c r="R403" s="27"/>
      <c r="T403" s="27"/>
    </row>
    <row r="404" ht="15.75" customHeight="1">
      <c r="R404" s="27"/>
      <c r="T404" s="27"/>
    </row>
    <row r="405" ht="15.75" customHeight="1">
      <c r="R405" s="27"/>
      <c r="T405" s="27"/>
    </row>
    <row r="406" ht="15.75" customHeight="1">
      <c r="R406" s="27"/>
      <c r="T406" s="27"/>
    </row>
    <row r="407" ht="15.75" customHeight="1">
      <c r="R407" s="27"/>
      <c r="T407" s="27"/>
    </row>
    <row r="408" ht="15.75" customHeight="1">
      <c r="R408" s="27"/>
      <c r="T408" s="27"/>
    </row>
    <row r="409" ht="15.75" customHeight="1">
      <c r="R409" s="27"/>
      <c r="T409" s="27"/>
    </row>
    <row r="410" ht="15.75" customHeight="1">
      <c r="R410" s="27"/>
      <c r="T410" s="27"/>
    </row>
    <row r="411" ht="15.75" customHeight="1">
      <c r="R411" s="27"/>
      <c r="T411" s="27"/>
    </row>
    <row r="412" ht="15.75" customHeight="1">
      <c r="R412" s="27"/>
      <c r="T412" s="27"/>
    </row>
    <row r="413" ht="15.75" customHeight="1">
      <c r="R413" s="27"/>
      <c r="T413" s="27"/>
    </row>
    <row r="414" ht="15.75" customHeight="1">
      <c r="R414" s="27"/>
      <c r="T414" s="27"/>
    </row>
    <row r="415" ht="15.75" customHeight="1">
      <c r="R415" s="27"/>
      <c r="T415" s="27"/>
    </row>
    <row r="416" ht="15.75" customHeight="1">
      <c r="R416" s="27"/>
      <c r="T416" s="27"/>
    </row>
    <row r="417" ht="15.75" customHeight="1">
      <c r="R417" s="27"/>
      <c r="T417" s="27"/>
    </row>
    <row r="418" ht="15.75" customHeight="1">
      <c r="R418" s="27"/>
      <c r="T418" s="27"/>
    </row>
    <row r="419" ht="15.75" customHeight="1">
      <c r="R419" s="27"/>
      <c r="T419" s="27"/>
    </row>
    <row r="420" ht="15.75" customHeight="1">
      <c r="R420" s="27"/>
      <c r="T420" s="27"/>
    </row>
    <row r="421" ht="15.75" customHeight="1">
      <c r="R421" s="27"/>
      <c r="T421" s="27"/>
    </row>
    <row r="422" ht="15.75" customHeight="1">
      <c r="R422" s="27"/>
      <c r="T422" s="27"/>
    </row>
    <row r="423" ht="15.75" customHeight="1">
      <c r="R423" s="27"/>
      <c r="T423" s="27"/>
    </row>
    <row r="424" ht="15.75" customHeight="1">
      <c r="R424" s="27"/>
      <c r="T424" s="27"/>
    </row>
    <row r="425" ht="15.75" customHeight="1">
      <c r="R425" s="27"/>
      <c r="T425" s="27"/>
    </row>
    <row r="426" ht="15.75" customHeight="1">
      <c r="R426" s="27"/>
      <c r="T426" s="27"/>
    </row>
    <row r="427" ht="15.75" customHeight="1">
      <c r="R427" s="27"/>
      <c r="T427" s="27"/>
    </row>
    <row r="428" ht="15.75" customHeight="1">
      <c r="R428" s="27"/>
      <c r="T428" s="27"/>
    </row>
    <row r="429" ht="15.75" customHeight="1">
      <c r="R429" s="27"/>
      <c r="T429" s="27"/>
    </row>
    <row r="430" ht="15.75" customHeight="1">
      <c r="R430" s="27"/>
      <c r="T430" s="27"/>
    </row>
    <row r="431" ht="15.75" customHeight="1">
      <c r="R431" s="27"/>
      <c r="T431" s="27"/>
    </row>
    <row r="432" ht="15.75" customHeight="1">
      <c r="R432" s="27"/>
      <c r="T432" s="27"/>
    </row>
    <row r="433" ht="15.75" customHeight="1">
      <c r="R433" s="27"/>
      <c r="T433" s="27"/>
    </row>
    <row r="434" ht="15.75" customHeight="1">
      <c r="R434" s="27"/>
      <c r="T434" s="27"/>
    </row>
    <row r="435" ht="15.75" customHeight="1">
      <c r="R435" s="27"/>
      <c r="T435" s="27"/>
    </row>
    <row r="436" ht="15.75" customHeight="1">
      <c r="R436" s="27"/>
      <c r="T436" s="27"/>
    </row>
    <row r="437" ht="15.75" customHeight="1">
      <c r="R437" s="27"/>
      <c r="T437" s="27"/>
    </row>
    <row r="438" ht="15.75" customHeight="1">
      <c r="R438" s="27"/>
      <c r="T438" s="27"/>
    </row>
    <row r="439" ht="15.75" customHeight="1">
      <c r="R439" s="27"/>
      <c r="T439" s="27"/>
    </row>
    <row r="440" ht="15.75" customHeight="1">
      <c r="R440" s="27"/>
      <c r="T440" s="27"/>
    </row>
    <row r="441" ht="15.75" customHeight="1">
      <c r="R441" s="27"/>
      <c r="T441" s="27"/>
    </row>
    <row r="442" ht="15.75" customHeight="1">
      <c r="R442" s="27"/>
      <c r="T442" s="27"/>
    </row>
    <row r="443" ht="15.75" customHeight="1">
      <c r="R443" s="27"/>
      <c r="T443" s="27"/>
    </row>
    <row r="444" ht="15.75" customHeight="1">
      <c r="R444" s="27"/>
      <c r="T444" s="27"/>
    </row>
    <row r="445" ht="15.75" customHeight="1">
      <c r="R445" s="27"/>
      <c r="T445" s="27"/>
    </row>
    <row r="446" ht="15.75" customHeight="1">
      <c r="R446" s="27"/>
      <c r="T446" s="27"/>
    </row>
    <row r="447" ht="15.75" customHeight="1">
      <c r="R447" s="27"/>
      <c r="T447" s="27"/>
    </row>
    <row r="448" ht="15.75" customHeight="1">
      <c r="R448" s="27"/>
      <c r="T448" s="27"/>
    </row>
    <row r="449" ht="15.75" customHeight="1">
      <c r="R449" s="27"/>
      <c r="T449" s="27"/>
    </row>
    <row r="450" ht="15.75" customHeight="1">
      <c r="R450" s="27"/>
      <c r="T450" s="27"/>
    </row>
    <row r="451" ht="15.75" customHeight="1">
      <c r="R451" s="27"/>
      <c r="T451" s="27"/>
    </row>
    <row r="452" ht="15.75" customHeight="1">
      <c r="R452" s="27"/>
      <c r="T452" s="27"/>
    </row>
    <row r="453" ht="15.75" customHeight="1">
      <c r="R453" s="27"/>
      <c r="T453" s="27"/>
    </row>
    <row r="454" ht="15.75" customHeight="1">
      <c r="R454" s="27"/>
      <c r="T454" s="27"/>
    </row>
    <row r="455" ht="15.75" customHeight="1">
      <c r="R455" s="27"/>
      <c r="T455" s="27"/>
    </row>
    <row r="456" ht="15.75" customHeight="1">
      <c r="R456" s="27"/>
      <c r="T456" s="27"/>
    </row>
    <row r="457" ht="15.75" customHeight="1">
      <c r="R457" s="27"/>
      <c r="T457" s="27"/>
    </row>
    <row r="458" ht="15.75" customHeight="1">
      <c r="R458" s="27"/>
      <c r="T458" s="27"/>
    </row>
    <row r="459" ht="15.75" customHeight="1">
      <c r="R459" s="27"/>
      <c r="T459" s="27"/>
    </row>
    <row r="460" ht="15.75" customHeight="1">
      <c r="R460" s="27"/>
      <c r="T460" s="27"/>
    </row>
    <row r="461" ht="15.75" customHeight="1">
      <c r="R461" s="27"/>
      <c r="T461" s="27"/>
    </row>
    <row r="462" ht="15.75" customHeight="1">
      <c r="R462" s="27"/>
      <c r="T462" s="27"/>
    </row>
    <row r="463" ht="15.75" customHeight="1">
      <c r="R463" s="27"/>
      <c r="T463" s="27"/>
    </row>
    <row r="464" ht="15.75" customHeight="1">
      <c r="R464" s="27"/>
      <c r="T464" s="27"/>
    </row>
    <row r="465" ht="15.75" customHeight="1">
      <c r="R465" s="27"/>
      <c r="T465" s="27"/>
    </row>
    <row r="466" ht="15.75" customHeight="1">
      <c r="R466" s="27"/>
      <c r="T466" s="27"/>
    </row>
    <row r="467" ht="15.75" customHeight="1">
      <c r="R467" s="27"/>
      <c r="T467" s="27"/>
    </row>
    <row r="468" ht="15.75" customHeight="1">
      <c r="R468" s="27"/>
      <c r="T468" s="27"/>
    </row>
    <row r="469" ht="15.75" customHeight="1">
      <c r="R469" s="27"/>
      <c r="T469" s="27"/>
    </row>
    <row r="470" ht="15.75" customHeight="1">
      <c r="R470" s="27"/>
      <c r="T470" s="27"/>
    </row>
    <row r="471" ht="15.75" customHeight="1">
      <c r="R471" s="27"/>
      <c r="T471" s="27"/>
    </row>
    <row r="472" ht="15.75" customHeight="1">
      <c r="R472" s="27"/>
      <c r="T472" s="27"/>
    </row>
    <row r="473" ht="15.75" customHeight="1">
      <c r="R473" s="27"/>
      <c r="T473" s="27"/>
    </row>
    <row r="474" ht="15.75" customHeight="1">
      <c r="R474" s="27"/>
      <c r="T474" s="27"/>
    </row>
    <row r="475" ht="15.75" customHeight="1">
      <c r="R475" s="27"/>
      <c r="T475" s="27"/>
    </row>
    <row r="476" ht="15.75" customHeight="1">
      <c r="R476" s="27"/>
      <c r="T476" s="27"/>
    </row>
    <row r="477" ht="15.75" customHeight="1">
      <c r="R477" s="27"/>
      <c r="T477" s="27"/>
    </row>
    <row r="478" ht="15.75" customHeight="1">
      <c r="R478" s="27"/>
      <c r="T478" s="27"/>
    </row>
    <row r="479" ht="15.75" customHeight="1">
      <c r="R479" s="27"/>
      <c r="T479" s="27"/>
    </row>
    <row r="480" ht="15.75" customHeight="1">
      <c r="R480" s="27"/>
      <c r="T480" s="27"/>
    </row>
    <row r="481" ht="15.75" customHeight="1">
      <c r="R481" s="27"/>
      <c r="T481" s="27"/>
    </row>
    <row r="482" ht="15.75" customHeight="1">
      <c r="R482" s="27"/>
      <c r="T482" s="27"/>
    </row>
    <row r="483" ht="15.75" customHeight="1">
      <c r="R483" s="27"/>
      <c r="T483" s="27"/>
    </row>
    <row r="484" ht="15.75" customHeight="1">
      <c r="R484" s="27"/>
      <c r="T484" s="27"/>
    </row>
    <row r="485" ht="15.75" customHeight="1">
      <c r="R485" s="27"/>
      <c r="T485" s="27"/>
    </row>
    <row r="486" ht="15.75" customHeight="1">
      <c r="R486" s="27"/>
      <c r="T486" s="27"/>
    </row>
    <row r="487" ht="15.75" customHeight="1">
      <c r="R487" s="27"/>
      <c r="T487" s="27"/>
    </row>
    <row r="488" ht="15.75" customHeight="1">
      <c r="R488" s="27"/>
      <c r="T488" s="27"/>
    </row>
    <row r="489" ht="15.75" customHeight="1">
      <c r="R489" s="27"/>
      <c r="T489" s="27"/>
    </row>
    <row r="490" ht="15.75" customHeight="1">
      <c r="R490" s="27"/>
      <c r="T490" s="27"/>
    </row>
    <row r="491" ht="15.75" customHeight="1">
      <c r="R491" s="27"/>
      <c r="T491" s="27"/>
    </row>
    <row r="492" ht="15.75" customHeight="1">
      <c r="R492" s="27"/>
      <c r="T492" s="27"/>
    </row>
    <row r="493" ht="15.75" customHeight="1">
      <c r="R493" s="27"/>
      <c r="T493" s="27"/>
    </row>
    <row r="494" ht="15.75" customHeight="1">
      <c r="R494" s="27"/>
      <c r="T494" s="27"/>
    </row>
    <row r="495" ht="15.75" customHeight="1">
      <c r="R495" s="27"/>
      <c r="T495" s="27"/>
    </row>
    <row r="496" ht="15.75" customHeight="1">
      <c r="R496" s="27"/>
      <c r="T496" s="27"/>
    </row>
    <row r="497" ht="15.75" customHeight="1">
      <c r="R497" s="27"/>
      <c r="T497" s="27"/>
    </row>
    <row r="498" ht="15.75" customHeight="1">
      <c r="R498" s="27"/>
      <c r="T498" s="27"/>
    </row>
    <row r="499" ht="15.75" customHeight="1">
      <c r="R499" s="27"/>
      <c r="T499" s="27"/>
    </row>
    <row r="500" ht="15.75" customHeight="1">
      <c r="R500" s="27"/>
      <c r="T500" s="27"/>
    </row>
    <row r="501" ht="15.75" customHeight="1">
      <c r="R501" s="27"/>
      <c r="T501" s="27"/>
    </row>
    <row r="502" ht="15.75" customHeight="1">
      <c r="R502" s="27"/>
      <c r="T502" s="27"/>
    </row>
    <row r="503" ht="15.75" customHeight="1">
      <c r="R503" s="27"/>
      <c r="T503" s="27"/>
    </row>
    <row r="504" ht="15.75" customHeight="1">
      <c r="R504" s="27"/>
      <c r="T504" s="27"/>
    </row>
    <row r="505" ht="15.75" customHeight="1">
      <c r="R505" s="27"/>
      <c r="T505" s="27"/>
    </row>
    <row r="506" ht="15.75" customHeight="1">
      <c r="R506" s="27"/>
      <c r="T506" s="27"/>
    </row>
    <row r="507" ht="15.75" customHeight="1">
      <c r="R507" s="27"/>
      <c r="T507" s="27"/>
    </row>
    <row r="508" ht="15.75" customHeight="1">
      <c r="R508" s="27"/>
      <c r="T508" s="27"/>
    </row>
    <row r="509" ht="15.75" customHeight="1">
      <c r="R509" s="27"/>
      <c r="T509" s="27"/>
    </row>
    <row r="510" ht="15.75" customHeight="1">
      <c r="R510" s="27"/>
      <c r="T510" s="27"/>
    </row>
    <row r="511" ht="15.75" customHeight="1">
      <c r="R511" s="27"/>
      <c r="T511" s="27"/>
    </row>
    <row r="512" ht="15.75" customHeight="1">
      <c r="R512" s="27"/>
      <c r="T512" s="27"/>
    </row>
    <row r="513" ht="15.75" customHeight="1">
      <c r="R513" s="27"/>
      <c r="T513" s="27"/>
    </row>
    <row r="514" ht="15.75" customHeight="1">
      <c r="R514" s="27"/>
      <c r="T514" s="27"/>
    </row>
    <row r="515" ht="15.75" customHeight="1">
      <c r="R515" s="27"/>
      <c r="T515" s="27"/>
    </row>
    <row r="516" ht="15.75" customHeight="1">
      <c r="R516" s="27"/>
      <c r="T516" s="27"/>
    </row>
    <row r="517" ht="15.75" customHeight="1">
      <c r="R517" s="27"/>
      <c r="T517" s="27"/>
    </row>
    <row r="518" ht="15.75" customHeight="1">
      <c r="R518" s="27"/>
      <c r="T518" s="27"/>
    </row>
    <row r="519" ht="15.75" customHeight="1">
      <c r="R519" s="27"/>
      <c r="T519" s="27"/>
    </row>
    <row r="520" ht="15.75" customHeight="1">
      <c r="R520" s="27"/>
      <c r="T520" s="27"/>
    </row>
    <row r="521" ht="15.75" customHeight="1">
      <c r="R521" s="27"/>
      <c r="T521" s="27"/>
    </row>
    <row r="522" ht="15.75" customHeight="1">
      <c r="R522" s="27"/>
      <c r="T522" s="27"/>
    </row>
    <row r="523" ht="15.75" customHeight="1">
      <c r="R523" s="27"/>
      <c r="T523" s="27"/>
    </row>
    <row r="524" ht="15.75" customHeight="1">
      <c r="R524" s="27"/>
      <c r="T524" s="27"/>
    </row>
    <row r="525" ht="15.75" customHeight="1">
      <c r="R525" s="27"/>
      <c r="T525" s="27"/>
    </row>
    <row r="526" ht="15.75" customHeight="1">
      <c r="R526" s="27"/>
      <c r="T526" s="27"/>
    </row>
    <row r="527" ht="15.75" customHeight="1">
      <c r="R527" s="27"/>
      <c r="T527" s="27"/>
    </row>
    <row r="528" ht="15.75" customHeight="1">
      <c r="R528" s="27"/>
      <c r="T528" s="27"/>
    </row>
    <row r="529" ht="15.75" customHeight="1">
      <c r="R529" s="27"/>
      <c r="T529" s="27"/>
    </row>
    <row r="530" ht="15.75" customHeight="1">
      <c r="R530" s="27"/>
      <c r="T530" s="27"/>
    </row>
    <row r="531" ht="15.75" customHeight="1">
      <c r="R531" s="27"/>
      <c r="T531" s="27"/>
    </row>
    <row r="532" ht="15.75" customHeight="1">
      <c r="R532" s="27"/>
      <c r="T532" s="27"/>
    </row>
    <row r="533" ht="15.75" customHeight="1">
      <c r="R533" s="27"/>
      <c r="T533" s="27"/>
    </row>
    <row r="534" ht="15.75" customHeight="1">
      <c r="R534" s="27"/>
      <c r="T534" s="27"/>
    </row>
    <row r="535" ht="15.75" customHeight="1">
      <c r="R535" s="27"/>
      <c r="T535" s="27"/>
    </row>
    <row r="536" ht="15.75" customHeight="1">
      <c r="R536" s="27"/>
      <c r="T536" s="27"/>
    </row>
    <row r="537" ht="15.75" customHeight="1">
      <c r="R537" s="27"/>
      <c r="T537" s="27"/>
    </row>
    <row r="538" ht="15.75" customHeight="1">
      <c r="R538" s="27"/>
      <c r="T538" s="27"/>
    </row>
    <row r="539" ht="15.75" customHeight="1">
      <c r="R539" s="27"/>
      <c r="T539" s="27"/>
    </row>
    <row r="540" ht="15.75" customHeight="1">
      <c r="R540" s="27"/>
      <c r="T540" s="27"/>
    </row>
    <row r="541" ht="15.75" customHeight="1">
      <c r="R541" s="27"/>
      <c r="T541" s="27"/>
    </row>
    <row r="542" ht="15.75" customHeight="1">
      <c r="R542" s="27"/>
      <c r="T542" s="27"/>
    </row>
    <row r="543" ht="15.75" customHeight="1">
      <c r="R543" s="27"/>
      <c r="T543" s="27"/>
    </row>
    <row r="544" ht="15.75" customHeight="1">
      <c r="R544" s="27"/>
      <c r="T544" s="27"/>
    </row>
    <row r="545" ht="15.75" customHeight="1">
      <c r="R545" s="27"/>
      <c r="T545" s="27"/>
    </row>
    <row r="546" ht="15.75" customHeight="1">
      <c r="R546" s="27"/>
      <c r="T546" s="27"/>
    </row>
    <row r="547" ht="15.75" customHeight="1">
      <c r="R547" s="27"/>
      <c r="T547" s="27"/>
    </row>
    <row r="548" ht="15.75" customHeight="1">
      <c r="R548" s="27"/>
      <c r="T548" s="27"/>
    </row>
    <row r="549" ht="15.75" customHeight="1">
      <c r="R549" s="27"/>
      <c r="T549" s="27"/>
    </row>
    <row r="550" ht="15.75" customHeight="1">
      <c r="R550" s="27"/>
      <c r="T550" s="27"/>
    </row>
    <row r="551" ht="15.75" customHeight="1">
      <c r="R551" s="27"/>
      <c r="T551" s="27"/>
    </row>
    <row r="552" ht="15.75" customHeight="1">
      <c r="R552" s="27"/>
      <c r="T552" s="27"/>
    </row>
    <row r="553" ht="15.75" customHeight="1">
      <c r="R553" s="27"/>
      <c r="T553" s="27"/>
    </row>
    <row r="554" ht="15.75" customHeight="1">
      <c r="R554" s="27"/>
      <c r="T554" s="27"/>
    </row>
    <row r="555" ht="15.75" customHeight="1">
      <c r="R555" s="27"/>
      <c r="T555" s="27"/>
    </row>
    <row r="556" ht="15.75" customHeight="1">
      <c r="R556" s="27"/>
      <c r="T556" s="27"/>
    </row>
    <row r="557" ht="15.75" customHeight="1">
      <c r="R557" s="27"/>
      <c r="T557" s="27"/>
    </row>
    <row r="558" ht="15.75" customHeight="1">
      <c r="R558" s="27"/>
      <c r="T558" s="27"/>
    </row>
    <row r="559" ht="15.75" customHeight="1">
      <c r="R559" s="27"/>
      <c r="T559" s="27"/>
    </row>
    <row r="560" ht="15.75" customHeight="1">
      <c r="R560" s="27"/>
      <c r="T560" s="27"/>
    </row>
    <row r="561" ht="15.75" customHeight="1">
      <c r="R561" s="27"/>
      <c r="T561" s="27"/>
    </row>
    <row r="562" ht="15.75" customHeight="1">
      <c r="R562" s="27"/>
      <c r="T562" s="27"/>
    </row>
    <row r="563" ht="15.75" customHeight="1">
      <c r="R563" s="27"/>
      <c r="T563" s="27"/>
    </row>
    <row r="564" ht="15.75" customHeight="1">
      <c r="R564" s="27"/>
      <c r="T564" s="27"/>
    </row>
    <row r="565" ht="15.75" customHeight="1">
      <c r="R565" s="27"/>
      <c r="T565" s="27"/>
    </row>
    <row r="566" ht="15.75" customHeight="1">
      <c r="R566" s="27"/>
      <c r="T566" s="27"/>
    </row>
    <row r="567" ht="15.75" customHeight="1">
      <c r="R567" s="27"/>
      <c r="T567" s="27"/>
    </row>
    <row r="568" ht="15.75" customHeight="1">
      <c r="R568" s="27"/>
      <c r="T568" s="27"/>
    </row>
    <row r="569" ht="15.75" customHeight="1">
      <c r="R569" s="27"/>
      <c r="T569" s="27"/>
    </row>
    <row r="570" ht="15.75" customHeight="1">
      <c r="R570" s="27"/>
      <c r="T570" s="27"/>
    </row>
    <row r="571" ht="15.75" customHeight="1">
      <c r="R571" s="27"/>
      <c r="T571" s="27"/>
    </row>
    <row r="572" ht="15.75" customHeight="1">
      <c r="R572" s="27"/>
      <c r="T572" s="27"/>
    </row>
    <row r="573" ht="15.75" customHeight="1">
      <c r="R573" s="27"/>
      <c r="T573" s="27"/>
    </row>
    <row r="574" ht="15.75" customHeight="1">
      <c r="R574" s="27"/>
      <c r="T574" s="27"/>
    </row>
    <row r="575" ht="15.75" customHeight="1">
      <c r="R575" s="27"/>
      <c r="T575" s="27"/>
    </row>
    <row r="576" ht="15.75" customHeight="1">
      <c r="R576" s="27"/>
      <c r="T576" s="27"/>
    </row>
    <row r="577" ht="15.75" customHeight="1">
      <c r="R577" s="27"/>
      <c r="T577" s="27"/>
    </row>
    <row r="578" ht="15.75" customHeight="1">
      <c r="R578" s="27"/>
      <c r="T578" s="27"/>
    </row>
    <row r="579" ht="15.75" customHeight="1">
      <c r="R579" s="27"/>
      <c r="T579" s="27"/>
    </row>
    <row r="580" ht="15.75" customHeight="1">
      <c r="R580" s="27"/>
      <c r="T580" s="27"/>
    </row>
    <row r="581" ht="15.75" customHeight="1">
      <c r="R581" s="27"/>
      <c r="T581" s="27"/>
    </row>
    <row r="582" ht="15.75" customHeight="1">
      <c r="R582" s="27"/>
      <c r="T582" s="27"/>
    </row>
    <row r="583" ht="15.75" customHeight="1">
      <c r="R583" s="27"/>
      <c r="T583" s="27"/>
    </row>
    <row r="584" ht="15.75" customHeight="1">
      <c r="R584" s="27"/>
      <c r="T584" s="27"/>
    </row>
    <row r="585" ht="15.75" customHeight="1">
      <c r="R585" s="27"/>
      <c r="T585" s="27"/>
    </row>
    <row r="586" ht="15.75" customHeight="1">
      <c r="R586" s="27"/>
      <c r="T586" s="27"/>
    </row>
    <row r="587" ht="15.75" customHeight="1">
      <c r="R587" s="27"/>
      <c r="T587" s="27"/>
    </row>
    <row r="588" ht="15.75" customHeight="1">
      <c r="R588" s="27"/>
      <c r="T588" s="27"/>
    </row>
    <row r="589" ht="15.75" customHeight="1">
      <c r="R589" s="27"/>
      <c r="T589" s="27"/>
    </row>
    <row r="590" ht="15.75" customHeight="1">
      <c r="R590" s="27"/>
      <c r="T590" s="27"/>
    </row>
    <row r="591" ht="15.75" customHeight="1">
      <c r="R591" s="27"/>
      <c r="T591" s="27"/>
    </row>
    <row r="592" ht="15.75" customHeight="1">
      <c r="R592" s="27"/>
      <c r="T592" s="27"/>
    </row>
    <row r="593" ht="15.75" customHeight="1">
      <c r="R593" s="27"/>
      <c r="T593" s="27"/>
    </row>
    <row r="594" ht="15.75" customHeight="1">
      <c r="R594" s="27"/>
      <c r="T594" s="27"/>
    </row>
    <row r="595" ht="15.75" customHeight="1">
      <c r="R595" s="27"/>
      <c r="T595" s="27"/>
    </row>
    <row r="596" ht="15.75" customHeight="1">
      <c r="R596" s="27"/>
      <c r="T596" s="27"/>
    </row>
    <row r="597" ht="15.75" customHeight="1">
      <c r="R597" s="27"/>
      <c r="T597" s="27"/>
    </row>
    <row r="598" ht="15.75" customHeight="1">
      <c r="R598" s="27"/>
      <c r="T598" s="27"/>
    </row>
    <row r="599" ht="15.75" customHeight="1">
      <c r="R599" s="27"/>
      <c r="T599" s="27"/>
    </row>
    <row r="600" ht="15.75" customHeight="1">
      <c r="R600" s="27"/>
      <c r="T600" s="27"/>
    </row>
    <row r="601" ht="15.75" customHeight="1">
      <c r="R601" s="27"/>
      <c r="T601" s="27"/>
    </row>
    <row r="602" ht="15.75" customHeight="1">
      <c r="R602" s="27"/>
      <c r="T602" s="27"/>
    </row>
    <row r="603" ht="15.75" customHeight="1">
      <c r="R603" s="27"/>
      <c r="T603" s="27"/>
    </row>
    <row r="604" ht="15.75" customHeight="1">
      <c r="R604" s="27"/>
      <c r="T604" s="27"/>
    </row>
    <row r="605" ht="15.75" customHeight="1">
      <c r="R605" s="27"/>
      <c r="T605" s="27"/>
    </row>
    <row r="606" ht="15.75" customHeight="1">
      <c r="R606" s="27"/>
      <c r="T606" s="27"/>
    </row>
    <row r="607" ht="15.75" customHeight="1">
      <c r="R607" s="27"/>
      <c r="T607" s="27"/>
    </row>
    <row r="608" ht="15.75" customHeight="1">
      <c r="R608" s="27"/>
      <c r="T608" s="27"/>
    </row>
    <row r="609" ht="15.75" customHeight="1">
      <c r="R609" s="27"/>
      <c r="T609" s="27"/>
    </row>
    <row r="610" ht="15.75" customHeight="1">
      <c r="R610" s="27"/>
      <c r="T610" s="27"/>
    </row>
    <row r="611" ht="15.75" customHeight="1">
      <c r="R611" s="27"/>
      <c r="T611" s="27"/>
    </row>
    <row r="612" ht="15.75" customHeight="1">
      <c r="R612" s="27"/>
      <c r="T612" s="27"/>
    </row>
    <row r="613" ht="15.75" customHeight="1">
      <c r="R613" s="27"/>
      <c r="T613" s="27"/>
    </row>
    <row r="614" ht="15.75" customHeight="1">
      <c r="R614" s="27"/>
      <c r="T614" s="27"/>
    </row>
    <row r="615" ht="15.75" customHeight="1">
      <c r="R615" s="27"/>
      <c r="T615" s="27"/>
    </row>
    <row r="616" ht="15.75" customHeight="1">
      <c r="R616" s="27"/>
      <c r="T616" s="27"/>
    </row>
    <row r="617" ht="15.75" customHeight="1">
      <c r="R617" s="27"/>
      <c r="T617" s="27"/>
    </row>
    <row r="618" ht="15.75" customHeight="1">
      <c r="R618" s="27"/>
      <c r="T618" s="27"/>
    </row>
    <row r="619" ht="15.75" customHeight="1">
      <c r="R619" s="27"/>
      <c r="T619" s="27"/>
    </row>
    <row r="620" ht="15.75" customHeight="1">
      <c r="R620" s="27"/>
      <c r="T620" s="27"/>
    </row>
    <row r="621" ht="15.75" customHeight="1">
      <c r="R621" s="27"/>
      <c r="T621" s="27"/>
    </row>
    <row r="622" ht="15.75" customHeight="1">
      <c r="R622" s="27"/>
      <c r="T622" s="27"/>
    </row>
    <row r="623" ht="15.75" customHeight="1">
      <c r="R623" s="27"/>
      <c r="T623" s="27"/>
    </row>
    <row r="624" ht="15.75" customHeight="1">
      <c r="R624" s="27"/>
      <c r="T624" s="27"/>
    </row>
    <row r="625" ht="15.75" customHeight="1">
      <c r="R625" s="27"/>
      <c r="T625" s="27"/>
    </row>
    <row r="626" ht="15.75" customHeight="1">
      <c r="R626" s="27"/>
      <c r="T626" s="27"/>
    </row>
    <row r="627" ht="15.75" customHeight="1">
      <c r="R627" s="27"/>
      <c r="T627" s="27"/>
    </row>
    <row r="628" ht="15.75" customHeight="1">
      <c r="R628" s="27"/>
      <c r="T628" s="27"/>
    </row>
    <row r="629" ht="15.75" customHeight="1">
      <c r="R629" s="27"/>
      <c r="T629" s="27"/>
    </row>
    <row r="630" ht="15.75" customHeight="1">
      <c r="R630" s="27"/>
      <c r="T630" s="27"/>
    </row>
    <row r="631" ht="15.75" customHeight="1">
      <c r="R631" s="27"/>
      <c r="T631" s="27"/>
    </row>
    <row r="632" ht="15.75" customHeight="1">
      <c r="R632" s="27"/>
      <c r="T632" s="27"/>
    </row>
    <row r="633" ht="15.75" customHeight="1">
      <c r="R633" s="27"/>
      <c r="T633" s="27"/>
    </row>
    <row r="634" ht="15.75" customHeight="1">
      <c r="R634" s="27"/>
      <c r="T634" s="27"/>
    </row>
    <row r="635" ht="15.75" customHeight="1">
      <c r="R635" s="27"/>
      <c r="T635" s="27"/>
    </row>
    <row r="636" ht="15.75" customHeight="1">
      <c r="R636" s="27"/>
      <c r="T636" s="27"/>
    </row>
    <row r="637" ht="15.75" customHeight="1">
      <c r="R637" s="27"/>
      <c r="T637" s="27"/>
    </row>
    <row r="638" ht="15.75" customHeight="1">
      <c r="R638" s="27"/>
      <c r="T638" s="27"/>
    </row>
    <row r="639" ht="15.75" customHeight="1">
      <c r="R639" s="27"/>
      <c r="T639" s="27"/>
    </row>
    <row r="640" ht="15.75" customHeight="1">
      <c r="R640" s="27"/>
      <c r="T640" s="27"/>
    </row>
    <row r="641" ht="15.75" customHeight="1">
      <c r="R641" s="27"/>
      <c r="T641" s="27"/>
    </row>
    <row r="642" ht="15.75" customHeight="1">
      <c r="R642" s="27"/>
      <c r="T642" s="27"/>
    </row>
    <row r="643" ht="15.75" customHeight="1">
      <c r="R643" s="27"/>
      <c r="T643" s="27"/>
    </row>
    <row r="644" ht="15.75" customHeight="1">
      <c r="R644" s="27"/>
      <c r="T644" s="27"/>
    </row>
    <row r="645" ht="15.75" customHeight="1">
      <c r="R645" s="27"/>
      <c r="T645" s="27"/>
    </row>
    <row r="646" ht="15.75" customHeight="1">
      <c r="R646" s="27"/>
      <c r="T646" s="27"/>
    </row>
    <row r="647" ht="15.75" customHeight="1">
      <c r="R647" s="27"/>
      <c r="T647" s="27"/>
    </row>
    <row r="648" ht="15.75" customHeight="1">
      <c r="R648" s="27"/>
      <c r="T648" s="27"/>
    </row>
    <row r="649" ht="15.75" customHeight="1">
      <c r="R649" s="27"/>
      <c r="T649" s="27"/>
    </row>
    <row r="650" ht="15.75" customHeight="1">
      <c r="R650" s="27"/>
      <c r="T650" s="27"/>
    </row>
    <row r="651" ht="15.75" customHeight="1">
      <c r="R651" s="27"/>
      <c r="T651" s="27"/>
    </row>
    <row r="652" ht="15.75" customHeight="1">
      <c r="R652" s="27"/>
      <c r="T652" s="27"/>
    </row>
    <row r="653" ht="15.75" customHeight="1">
      <c r="R653" s="27"/>
      <c r="T653" s="27"/>
    </row>
    <row r="654" ht="15.75" customHeight="1">
      <c r="R654" s="27"/>
      <c r="T654" s="27"/>
    </row>
    <row r="655" ht="15.75" customHeight="1">
      <c r="R655" s="27"/>
      <c r="T655" s="27"/>
    </row>
    <row r="656" ht="15.75" customHeight="1">
      <c r="R656" s="27"/>
      <c r="T656" s="27"/>
    </row>
    <row r="657" ht="15.75" customHeight="1">
      <c r="R657" s="27"/>
      <c r="T657" s="27"/>
    </row>
    <row r="658" ht="15.75" customHeight="1">
      <c r="R658" s="27"/>
      <c r="T658" s="27"/>
    </row>
    <row r="659" ht="15.75" customHeight="1">
      <c r="R659" s="27"/>
      <c r="T659" s="27"/>
    </row>
    <row r="660" ht="15.75" customHeight="1">
      <c r="R660" s="27"/>
      <c r="T660" s="27"/>
    </row>
    <row r="661" ht="15.75" customHeight="1">
      <c r="R661" s="27"/>
      <c r="T661" s="27"/>
    </row>
    <row r="662" ht="15.75" customHeight="1">
      <c r="R662" s="27"/>
      <c r="T662" s="27"/>
    </row>
    <row r="663" ht="15.75" customHeight="1">
      <c r="R663" s="27"/>
      <c r="T663" s="27"/>
    </row>
    <row r="664" ht="15.75" customHeight="1">
      <c r="R664" s="27"/>
      <c r="T664" s="27"/>
    </row>
    <row r="665" ht="15.75" customHeight="1">
      <c r="R665" s="27"/>
      <c r="T665" s="27"/>
    </row>
    <row r="666" ht="15.75" customHeight="1">
      <c r="R666" s="27"/>
      <c r="T666" s="27"/>
    </row>
    <row r="667" ht="15.75" customHeight="1">
      <c r="R667" s="27"/>
      <c r="T667" s="27"/>
    </row>
    <row r="668" ht="15.75" customHeight="1">
      <c r="R668" s="27"/>
      <c r="T668" s="27"/>
    </row>
    <row r="669" ht="15.75" customHeight="1">
      <c r="R669" s="27"/>
      <c r="T669" s="27"/>
    </row>
    <row r="670" ht="15.75" customHeight="1">
      <c r="R670" s="27"/>
      <c r="T670" s="27"/>
    </row>
    <row r="671" ht="15.75" customHeight="1">
      <c r="R671" s="27"/>
      <c r="T671" s="27"/>
    </row>
    <row r="672" ht="15.75" customHeight="1">
      <c r="R672" s="27"/>
      <c r="T672" s="27"/>
    </row>
    <row r="673" ht="15.75" customHeight="1">
      <c r="R673" s="27"/>
      <c r="T673" s="27"/>
    </row>
    <row r="674" ht="15.75" customHeight="1">
      <c r="R674" s="27"/>
      <c r="T674" s="27"/>
    </row>
    <row r="675" ht="15.75" customHeight="1">
      <c r="R675" s="27"/>
      <c r="T675" s="27"/>
    </row>
    <row r="676" ht="15.75" customHeight="1">
      <c r="R676" s="27"/>
      <c r="T676" s="27"/>
    </row>
    <row r="677" ht="15.75" customHeight="1">
      <c r="R677" s="27"/>
      <c r="T677" s="27"/>
    </row>
    <row r="678" ht="15.75" customHeight="1">
      <c r="R678" s="27"/>
      <c r="T678" s="27"/>
    </row>
    <row r="679" ht="15.75" customHeight="1">
      <c r="R679" s="27"/>
      <c r="T679" s="27"/>
    </row>
    <row r="680" ht="15.75" customHeight="1">
      <c r="R680" s="27"/>
      <c r="T680" s="27"/>
    </row>
    <row r="681" ht="15.75" customHeight="1">
      <c r="R681" s="27"/>
      <c r="T681" s="27"/>
    </row>
    <row r="682" ht="15.75" customHeight="1">
      <c r="R682" s="27"/>
      <c r="T682" s="27"/>
    </row>
    <row r="683" ht="15.75" customHeight="1">
      <c r="R683" s="27"/>
      <c r="T683" s="27"/>
    </row>
    <row r="684" ht="15.75" customHeight="1">
      <c r="R684" s="27"/>
      <c r="T684" s="27"/>
    </row>
    <row r="685" ht="15.75" customHeight="1">
      <c r="R685" s="27"/>
      <c r="T685" s="27"/>
    </row>
    <row r="686" ht="15.75" customHeight="1">
      <c r="R686" s="27"/>
      <c r="T686" s="27"/>
    </row>
    <row r="687" ht="15.75" customHeight="1">
      <c r="R687" s="27"/>
      <c r="T687" s="27"/>
    </row>
    <row r="688" ht="15.75" customHeight="1">
      <c r="R688" s="27"/>
      <c r="T688" s="27"/>
    </row>
    <row r="689" ht="15.75" customHeight="1">
      <c r="R689" s="27"/>
      <c r="T689" s="27"/>
    </row>
    <row r="690" ht="15.75" customHeight="1">
      <c r="R690" s="27"/>
      <c r="T690" s="27"/>
    </row>
    <row r="691" ht="15.75" customHeight="1">
      <c r="R691" s="27"/>
      <c r="T691" s="27"/>
    </row>
    <row r="692" ht="15.75" customHeight="1">
      <c r="R692" s="27"/>
      <c r="T692" s="27"/>
    </row>
    <row r="693" ht="15.75" customHeight="1">
      <c r="R693" s="27"/>
      <c r="T693" s="27"/>
    </row>
    <row r="694" ht="15.75" customHeight="1">
      <c r="R694" s="27"/>
      <c r="T694" s="27"/>
    </row>
    <row r="695" ht="15.75" customHeight="1">
      <c r="R695" s="27"/>
      <c r="T695" s="27"/>
    </row>
    <row r="696" ht="15.75" customHeight="1">
      <c r="R696" s="27"/>
      <c r="T696" s="27"/>
    </row>
    <row r="697" ht="15.75" customHeight="1">
      <c r="R697" s="27"/>
      <c r="T697" s="27"/>
    </row>
    <row r="698" ht="15.75" customHeight="1">
      <c r="R698" s="27"/>
      <c r="T698" s="27"/>
    </row>
    <row r="699" ht="15.75" customHeight="1">
      <c r="R699" s="27"/>
      <c r="T699" s="27"/>
    </row>
    <row r="700" ht="15.75" customHeight="1">
      <c r="R700" s="27"/>
      <c r="T700" s="27"/>
    </row>
    <row r="701" ht="15.75" customHeight="1">
      <c r="R701" s="27"/>
      <c r="T701" s="27"/>
    </row>
    <row r="702" ht="15.75" customHeight="1">
      <c r="R702" s="27"/>
      <c r="T702" s="27"/>
    </row>
    <row r="703" ht="15.75" customHeight="1">
      <c r="R703" s="27"/>
      <c r="T703" s="27"/>
    </row>
    <row r="704" ht="15.75" customHeight="1">
      <c r="R704" s="27"/>
      <c r="T704" s="27"/>
    </row>
    <row r="705" ht="15.75" customHeight="1">
      <c r="R705" s="27"/>
      <c r="T705" s="27"/>
    </row>
    <row r="706" ht="15.75" customHeight="1">
      <c r="R706" s="27"/>
      <c r="T706" s="27"/>
    </row>
    <row r="707" ht="15.75" customHeight="1">
      <c r="R707" s="27"/>
      <c r="T707" s="27"/>
    </row>
    <row r="708" ht="15.75" customHeight="1">
      <c r="R708" s="27"/>
      <c r="T708" s="27"/>
    </row>
    <row r="709" ht="15.75" customHeight="1">
      <c r="R709" s="27"/>
      <c r="T709" s="27"/>
    </row>
    <row r="710" ht="15.75" customHeight="1">
      <c r="R710" s="27"/>
      <c r="T710" s="27"/>
    </row>
    <row r="711" ht="15.75" customHeight="1">
      <c r="R711" s="27"/>
      <c r="T711" s="27"/>
    </row>
    <row r="712" ht="15.75" customHeight="1">
      <c r="R712" s="27"/>
      <c r="T712" s="27"/>
    </row>
    <row r="713" ht="15.75" customHeight="1">
      <c r="R713" s="27"/>
      <c r="T713" s="27"/>
    </row>
    <row r="714" ht="15.75" customHeight="1">
      <c r="R714" s="27"/>
      <c r="T714" s="27"/>
    </row>
    <row r="715" ht="15.75" customHeight="1">
      <c r="R715" s="27"/>
      <c r="T715" s="27"/>
    </row>
    <row r="716" ht="15.75" customHeight="1">
      <c r="R716" s="27"/>
      <c r="T716" s="27"/>
    </row>
    <row r="717" ht="15.75" customHeight="1">
      <c r="R717" s="27"/>
      <c r="T717" s="27"/>
    </row>
    <row r="718" ht="15.75" customHeight="1">
      <c r="R718" s="27"/>
      <c r="T718" s="27"/>
    </row>
    <row r="719" ht="15.75" customHeight="1">
      <c r="R719" s="27"/>
      <c r="T719" s="27"/>
    </row>
    <row r="720" ht="15.75" customHeight="1">
      <c r="R720" s="27"/>
      <c r="T720" s="27"/>
    </row>
    <row r="721" ht="15.75" customHeight="1">
      <c r="R721" s="27"/>
      <c r="T721" s="27"/>
    </row>
    <row r="722" ht="15.75" customHeight="1">
      <c r="R722" s="27"/>
      <c r="T722" s="27"/>
    </row>
    <row r="723" ht="15.75" customHeight="1">
      <c r="R723" s="27"/>
      <c r="T723" s="27"/>
    </row>
    <row r="724" ht="15.75" customHeight="1">
      <c r="R724" s="27"/>
      <c r="T724" s="27"/>
    </row>
    <row r="725" ht="15.75" customHeight="1">
      <c r="R725" s="27"/>
      <c r="T725" s="27"/>
    </row>
    <row r="726" ht="15.75" customHeight="1">
      <c r="R726" s="27"/>
      <c r="T726" s="27"/>
    </row>
    <row r="727" ht="15.75" customHeight="1">
      <c r="R727" s="27"/>
      <c r="T727" s="27"/>
    </row>
    <row r="728" ht="15.75" customHeight="1">
      <c r="R728" s="27"/>
      <c r="T728" s="27"/>
    </row>
    <row r="729" ht="15.75" customHeight="1">
      <c r="R729" s="27"/>
      <c r="T729" s="27"/>
    </row>
    <row r="730" ht="15.75" customHeight="1">
      <c r="R730" s="27"/>
      <c r="T730" s="27"/>
    </row>
    <row r="731" ht="15.75" customHeight="1">
      <c r="R731" s="27"/>
      <c r="T731" s="27"/>
    </row>
    <row r="732" ht="15.75" customHeight="1">
      <c r="R732" s="27"/>
      <c r="T732" s="27"/>
    </row>
    <row r="733" ht="15.75" customHeight="1">
      <c r="R733" s="27"/>
      <c r="T733" s="27"/>
    </row>
    <row r="734" ht="15.75" customHeight="1">
      <c r="R734" s="27"/>
      <c r="T734" s="27"/>
    </row>
    <row r="735" ht="15.75" customHeight="1">
      <c r="R735" s="27"/>
      <c r="T735" s="27"/>
    </row>
    <row r="736" ht="15.75" customHeight="1">
      <c r="R736" s="27"/>
      <c r="T736" s="27"/>
    </row>
    <row r="737" ht="15.75" customHeight="1">
      <c r="R737" s="27"/>
      <c r="T737" s="27"/>
    </row>
    <row r="738" ht="15.75" customHeight="1">
      <c r="R738" s="27"/>
      <c r="T738" s="27"/>
    </row>
    <row r="739" ht="15.75" customHeight="1">
      <c r="R739" s="27"/>
      <c r="T739" s="27"/>
    </row>
    <row r="740" ht="15.75" customHeight="1">
      <c r="R740" s="27"/>
      <c r="T740" s="27"/>
    </row>
    <row r="741" ht="15.75" customHeight="1">
      <c r="R741" s="27"/>
      <c r="T741" s="27"/>
    </row>
    <row r="742" ht="15.75" customHeight="1">
      <c r="R742" s="27"/>
      <c r="T742" s="27"/>
    </row>
    <row r="743" ht="15.75" customHeight="1">
      <c r="R743" s="27"/>
      <c r="T743" s="27"/>
    </row>
    <row r="744" ht="15.75" customHeight="1">
      <c r="R744" s="27"/>
      <c r="T744" s="27"/>
    </row>
    <row r="745" ht="15.75" customHeight="1">
      <c r="R745" s="27"/>
      <c r="T745" s="27"/>
    </row>
    <row r="746" ht="15.75" customHeight="1">
      <c r="R746" s="27"/>
      <c r="T746" s="27"/>
    </row>
    <row r="747" ht="15.75" customHeight="1">
      <c r="R747" s="27"/>
      <c r="T747" s="27"/>
    </row>
    <row r="748" ht="15.75" customHeight="1">
      <c r="R748" s="27"/>
      <c r="T748" s="27"/>
    </row>
    <row r="749" ht="15.75" customHeight="1">
      <c r="R749" s="27"/>
      <c r="T749" s="27"/>
    </row>
    <row r="750" ht="15.75" customHeight="1">
      <c r="R750" s="27"/>
      <c r="T750" s="27"/>
    </row>
    <row r="751" ht="15.75" customHeight="1">
      <c r="R751" s="27"/>
      <c r="T751" s="27"/>
    </row>
    <row r="752" ht="15.75" customHeight="1">
      <c r="R752" s="27"/>
      <c r="T752" s="27"/>
    </row>
    <row r="753" ht="15.75" customHeight="1">
      <c r="R753" s="27"/>
      <c r="T753" s="27"/>
    </row>
    <row r="754" ht="15.75" customHeight="1">
      <c r="R754" s="27"/>
      <c r="T754" s="27"/>
    </row>
    <row r="755" ht="15.75" customHeight="1">
      <c r="R755" s="27"/>
      <c r="T755" s="27"/>
    </row>
    <row r="756" ht="15.75" customHeight="1">
      <c r="R756" s="27"/>
      <c r="T756" s="27"/>
    </row>
    <row r="757" ht="15.75" customHeight="1">
      <c r="R757" s="27"/>
      <c r="T757" s="27"/>
    </row>
    <row r="758" ht="15.75" customHeight="1">
      <c r="R758" s="27"/>
      <c r="T758" s="27"/>
    </row>
    <row r="759" ht="15.75" customHeight="1">
      <c r="R759" s="27"/>
      <c r="T759" s="27"/>
    </row>
    <row r="760" ht="15.75" customHeight="1">
      <c r="R760" s="27"/>
      <c r="T760" s="27"/>
    </row>
    <row r="761" ht="15.75" customHeight="1">
      <c r="R761" s="27"/>
      <c r="T761" s="27"/>
    </row>
    <row r="762" ht="15.75" customHeight="1">
      <c r="R762" s="27"/>
      <c r="T762" s="27"/>
    </row>
    <row r="763" ht="15.75" customHeight="1">
      <c r="R763" s="27"/>
      <c r="T763" s="27"/>
    </row>
    <row r="764" ht="15.75" customHeight="1">
      <c r="R764" s="27"/>
      <c r="T764" s="27"/>
    </row>
    <row r="765" ht="15.75" customHeight="1">
      <c r="R765" s="27"/>
      <c r="T765" s="27"/>
    </row>
    <row r="766" ht="15.75" customHeight="1">
      <c r="R766" s="27"/>
      <c r="T766" s="27"/>
    </row>
    <row r="767" ht="15.75" customHeight="1">
      <c r="R767" s="27"/>
      <c r="T767" s="27"/>
    </row>
    <row r="768" ht="15.75" customHeight="1">
      <c r="R768" s="27"/>
      <c r="T768" s="27"/>
    </row>
    <row r="769" ht="15.75" customHeight="1">
      <c r="R769" s="27"/>
      <c r="T769" s="27"/>
    </row>
    <row r="770" ht="15.75" customHeight="1">
      <c r="R770" s="27"/>
      <c r="T770" s="27"/>
    </row>
    <row r="771" ht="15.75" customHeight="1">
      <c r="R771" s="27"/>
      <c r="T771" s="27"/>
    </row>
    <row r="772" ht="15.75" customHeight="1">
      <c r="R772" s="27"/>
      <c r="T772" s="27"/>
    </row>
    <row r="773" ht="15.75" customHeight="1">
      <c r="R773" s="27"/>
      <c r="T773" s="27"/>
    </row>
    <row r="774" ht="15.75" customHeight="1">
      <c r="R774" s="27"/>
      <c r="T774" s="27"/>
    </row>
    <row r="775" ht="15.75" customHeight="1">
      <c r="R775" s="27"/>
      <c r="T775" s="27"/>
    </row>
    <row r="776" ht="15.75" customHeight="1">
      <c r="R776" s="27"/>
      <c r="T776" s="27"/>
    </row>
    <row r="777" ht="15.75" customHeight="1">
      <c r="R777" s="27"/>
      <c r="T777" s="27"/>
    </row>
    <row r="778" ht="15.75" customHeight="1">
      <c r="R778" s="27"/>
      <c r="T778" s="27"/>
    </row>
    <row r="779" ht="15.75" customHeight="1">
      <c r="R779" s="27"/>
      <c r="T779" s="27"/>
    </row>
    <row r="780" ht="15.75" customHeight="1">
      <c r="R780" s="27"/>
      <c r="T780" s="27"/>
    </row>
    <row r="781" ht="15.75" customHeight="1">
      <c r="R781" s="27"/>
      <c r="T781" s="27"/>
    </row>
    <row r="782" ht="15.75" customHeight="1">
      <c r="R782" s="27"/>
      <c r="T782" s="27"/>
    </row>
    <row r="783" ht="15.75" customHeight="1">
      <c r="R783" s="27"/>
      <c r="T783" s="27"/>
    </row>
    <row r="784" ht="15.75" customHeight="1">
      <c r="R784" s="27"/>
      <c r="T784" s="27"/>
    </row>
    <row r="785" ht="15.75" customHeight="1">
      <c r="R785" s="27"/>
      <c r="T785" s="27"/>
    </row>
    <row r="786" ht="15.75" customHeight="1">
      <c r="R786" s="27"/>
      <c r="T786" s="27"/>
    </row>
    <row r="787" ht="15.75" customHeight="1">
      <c r="R787" s="27"/>
      <c r="T787" s="27"/>
    </row>
    <row r="788" ht="15.75" customHeight="1">
      <c r="R788" s="27"/>
      <c r="T788" s="27"/>
    </row>
    <row r="789" ht="15.75" customHeight="1">
      <c r="R789" s="27"/>
      <c r="T789" s="27"/>
    </row>
    <row r="790" ht="15.75" customHeight="1">
      <c r="R790" s="27"/>
      <c r="T790" s="27"/>
    </row>
    <row r="791" ht="15.75" customHeight="1">
      <c r="R791" s="27"/>
      <c r="T791" s="27"/>
    </row>
    <row r="792" ht="15.75" customHeight="1">
      <c r="R792" s="27"/>
      <c r="T792" s="27"/>
    </row>
    <row r="793" ht="15.75" customHeight="1">
      <c r="R793" s="27"/>
      <c r="T793" s="27"/>
    </row>
    <row r="794" ht="15.75" customHeight="1">
      <c r="R794" s="27"/>
      <c r="T794" s="27"/>
    </row>
    <row r="795" ht="15.75" customHeight="1">
      <c r="R795" s="27"/>
      <c r="T795" s="27"/>
    </row>
    <row r="796" ht="15.75" customHeight="1">
      <c r="R796" s="27"/>
      <c r="T796" s="27"/>
    </row>
    <row r="797" ht="15.75" customHeight="1">
      <c r="R797" s="27"/>
      <c r="T797" s="27"/>
    </row>
    <row r="798" ht="15.75" customHeight="1">
      <c r="R798" s="27"/>
      <c r="T798" s="27"/>
    </row>
    <row r="799" ht="15.75" customHeight="1">
      <c r="R799" s="27"/>
      <c r="T799" s="27"/>
    </row>
    <row r="800" ht="15.75" customHeight="1">
      <c r="R800" s="27"/>
      <c r="T800" s="27"/>
    </row>
    <row r="801" ht="15.75" customHeight="1">
      <c r="R801" s="27"/>
      <c r="T801" s="27"/>
    </row>
    <row r="802" ht="15.75" customHeight="1">
      <c r="R802" s="27"/>
      <c r="T802" s="27"/>
    </row>
    <row r="803" ht="15.75" customHeight="1">
      <c r="R803" s="27"/>
      <c r="T803" s="27"/>
    </row>
    <row r="804" ht="15.75" customHeight="1">
      <c r="R804" s="27"/>
      <c r="T804" s="27"/>
    </row>
    <row r="805" ht="15.75" customHeight="1">
      <c r="R805" s="27"/>
      <c r="T805" s="27"/>
    </row>
    <row r="806" ht="15.75" customHeight="1">
      <c r="R806" s="27"/>
      <c r="T806" s="27"/>
    </row>
    <row r="807" ht="15.75" customHeight="1">
      <c r="R807" s="27"/>
      <c r="T807" s="27"/>
    </row>
    <row r="808" ht="15.75" customHeight="1">
      <c r="R808" s="27"/>
      <c r="T808" s="27"/>
    </row>
    <row r="809" ht="15.75" customHeight="1">
      <c r="R809" s="27"/>
      <c r="T809" s="27"/>
    </row>
    <row r="810" ht="15.75" customHeight="1">
      <c r="R810" s="27"/>
      <c r="T810" s="27"/>
    </row>
    <row r="811" ht="15.75" customHeight="1">
      <c r="R811" s="27"/>
      <c r="T811" s="27"/>
    </row>
    <row r="812" ht="15.75" customHeight="1">
      <c r="R812" s="27"/>
      <c r="T812" s="27"/>
    </row>
    <row r="813" ht="15.75" customHeight="1">
      <c r="R813" s="27"/>
      <c r="T813" s="27"/>
    </row>
    <row r="814" ht="15.75" customHeight="1">
      <c r="R814" s="27"/>
      <c r="T814" s="27"/>
    </row>
    <row r="815" ht="15.75" customHeight="1">
      <c r="R815" s="27"/>
      <c r="T815" s="27"/>
    </row>
    <row r="816" ht="15.75" customHeight="1">
      <c r="R816" s="27"/>
      <c r="T816" s="27"/>
    </row>
    <row r="817" ht="15.75" customHeight="1">
      <c r="R817" s="27"/>
      <c r="T817" s="27"/>
    </row>
    <row r="818" ht="15.75" customHeight="1">
      <c r="R818" s="27"/>
      <c r="T818" s="27"/>
    </row>
    <row r="819" ht="15.75" customHeight="1">
      <c r="R819" s="27"/>
      <c r="T819" s="27"/>
    </row>
    <row r="820" ht="15.75" customHeight="1">
      <c r="R820" s="27"/>
      <c r="T820" s="27"/>
    </row>
    <row r="821" ht="15.75" customHeight="1">
      <c r="R821" s="27"/>
      <c r="T821" s="27"/>
    </row>
    <row r="822" ht="15.75" customHeight="1">
      <c r="R822" s="27"/>
      <c r="T822" s="27"/>
    </row>
    <row r="823" ht="15.75" customHeight="1">
      <c r="R823" s="27"/>
      <c r="T823" s="27"/>
    </row>
    <row r="824" ht="15.75" customHeight="1">
      <c r="R824" s="27"/>
      <c r="T824" s="27"/>
    </row>
    <row r="825" ht="15.75" customHeight="1">
      <c r="R825" s="27"/>
      <c r="T825" s="27"/>
    </row>
    <row r="826" ht="15.75" customHeight="1">
      <c r="R826" s="27"/>
      <c r="T826" s="27"/>
    </row>
    <row r="827" ht="15.75" customHeight="1">
      <c r="R827" s="27"/>
      <c r="T827" s="27"/>
    </row>
    <row r="828" ht="15.75" customHeight="1">
      <c r="R828" s="27"/>
      <c r="T828" s="27"/>
    </row>
    <row r="829" ht="15.75" customHeight="1">
      <c r="R829" s="27"/>
      <c r="T829" s="27"/>
    </row>
    <row r="830" ht="15.75" customHeight="1">
      <c r="R830" s="27"/>
      <c r="T830" s="27"/>
    </row>
    <row r="831" ht="15.75" customHeight="1">
      <c r="R831" s="27"/>
      <c r="T831" s="27"/>
    </row>
    <row r="832" ht="15.75" customHeight="1">
      <c r="R832" s="27"/>
      <c r="T832" s="27"/>
    </row>
    <row r="833" ht="15.75" customHeight="1">
      <c r="R833" s="27"/>
      <c r="T833" s="27"/>
    </row>
    <row r="834" ht="15.75" customHeight="1">
      <c r="R834" s="27"/>
      <c r="T834" s="27"/>
    </row>
    <row r="835" ht="15.75" customHeight="1">
      <c r="R835" s="27"/>
      <c r="T835" s="27"/>
    </row>
    <row r="836" ht="15.75" customHeight="1">
      <c r="R836" s="27"/>
      <c r="T836" s="27"/>
    </row>
    <row r="837" ht="15.75" customHeight="1">
      <c r="R837" s="27"/>
      <c r="T837" s="27"/>
    </row>
    <row r="838" ht="15.75" customHeight="1">
      <c r="R838" s="27"/>
      <c r="T838" s="27"/>
    </row>
    <row r="839" ht="15.75" customHeight="1">
      <c r="R839" s="27"/>
      <c r="T839" s="27"/>
    </row>
    <row r="840" ht="15.75" customHeight="1">
      <c r="R840" s="27"/>
      <c r="T840" s="27"/>
    </row>
    <row r="841" ht="15.75" customHeight="1">
      <c r="R841" s="27"/>
      <c r="T841" s="27"/>
    </row>
    <row r="842" ht="15.75" customHeight="1">
      <c r="R842" s="27"/>
      <c r="T842" s="27"/>
    </row>
    <row r="843" ht="15.75" customHeight="1">
      <c r="R843" s="27"/>
      <c r="T843" s="27"/>
    </row>
    <row r="844" ht="15.75" customHeight="1">
      <c r="R844" s="27"/>
      <c r="T844" s="27"/>
    </row>
    <row r="845" ht="15.75" customHeight="1">
      <c r="R845" s="27"/>
      <c r="T845" s="27"/>
    </row>
    <row r="846" ht="15.75" customHeight="1">
      <c r="R846" s="27"/>
      <c r="T846" s="27"/>
    </row>
    <row r="847" ht="15.75" customHeight="1">
      <c r="R847" s="27"/>
      <c r="T847" s="27"/>
    </row>
    <row r="848" ht="15.75" customHeight="1">
      <c r="R848" s="27"/>
      <c r="T848" s="27"/>
    </row>
    <row r="849" ht="15.75" customHeight="1">
      <c r="R849" s="27"/>
      <c r="T849" s="27"/>
    </row>
    <row r="850" ht="15.75" customHeight="1">
      <c r="R850" s="27"/>
      <c r="T850" s="27"/>
    </row>
    <row r="851" ht="15.75" customHeight="1">
      <c r="R851" s="27"/>
      <c r="T851" s="27"/>
    </row>
    <row r="852" ht="15.75" customHeight="1">
      <c r="R852" s="27"/>
      <c r="T852" s="27"/>
    </row>
    <row r="853" ht="15.75" customHeight="1">
      <c r="R853" s="27"/>
      <c r="T853" s="27"/>
    </row>
    <row r="854" ht="15.75" customHeight="1">
      <c r="R854" s="27"/>
      <c r="T854" s="27"/>
    </row>
    <row r="855" ht="15.75" customHeight="1">
      <c r="R855" s="27"/>
      <c r="T855" s="27"/>
    </row>
    <row r="856" ht="15.75" customHeight="1">
      <c r="R856" s="27"/>
      <c r="T856" s="27"/>
    </row>
    <row r="857" ht="15.75" customHeight="1">
      <c r="R857" s="27"/>
      <c r="T857" s="27"/>
    </row>
    <row r="858" ht="15.75" customHeight="1">
      <c r="R858" s="27"/>
      <c r="T858" s="27"/>
    </row>
    <row r="859" ht="15.75" customHeight="1">
      <c r="R859" s="27"/>
      <c r="T859" s="27"/>
    </row>
    <row r="860" ht="15.75" customHeight="1">
      <c r="R860" s="27"/>
      <c r="T860" s="27"/>
    </row>
    <row r="861" ht="15.75" customHeight="1">
      <c r="R861" s="27"/>
      <c r="T861" s="27"/>
    </row>
    <row r="862" ht="15.75" customHeight="1">
      <c r="R862" s="27"/>
      <c r="T862" s="27"/>
    </row>
    <row r="863" ht="15.75" customHeight="1">
      <c r="R863" s="27"/>
      <c r="T863" s="27"/>
    </row>
    <row r="864" ht="15.75" customHeight="1">
      <c r="R864" s="27"/>
      <c r="T864" s="27"/>
    </row>
    <row r="865" ht="15.75" customHeight="1">
      <c r="R865" s="27"/>
      <c r="T865" s="27"/>
    </row>
    <row r="866" ht="15.75" customHeight="1">
      <c r="R866" s="27"/>
      <c r="T866" s="27"/>
    </row>
    <row r="867" ht="15.75" customHeight="1">
      <c r="R867" s="27"/>
      <c r="T867" s="27"/>
    </row>
    <row r="868" ht="15.75" customHeight="1">
      <c r="R868" s="27"/>
      <c r="T868" s="27"/>
    </row>
    <row r="869" ht="15.75" customHeight="1">
      <c r="R869" s="27"/>
      <c r="T869" s="27"/>
    </row>
    <row r="870" ht="15.75" customHeight="1">
      <c r="R870" s="27"/>
      <c r="T870" s="27"/>
    </row>
    <row r="871" ht="15.75" customHeight="1">
      <c r="R871" s="27"/>
      <c r="T871" s="27"/>
    </row>
    <row r="872" ht="15.75" customHeight="1">
      <c r="R872" s="27"/>
      <c r="T872" s="27"/>
    </row>
    <row r="873" ht="15.75" customHeight="1">
      <c r="R873" s="27"/>
      <c r="T873" s="27"/>
    </row>
    <row r="874" ht="15.75" customHeight="1">
      <c r="R874" s="27"/>
      <c r="T874" s="27"/>
    </row>
    <row r="875" ht="15.75" customHeight="1">
      <c r="R875" s="27"/>
      <c r="T875" s="27"/>
    </row>
    <row r="876" ht="15.75" customHeight="1">
      <c r="R876" s="27"/>
      <c r="T876" s="27"/>
    </row>
    <row r="877" ht="15.75" customHeight="1">
      <c r="R877" s="27"/>
      <c r="T877" s="27"/>
    </row>
    <row r="878" ht="15.75" customHeight="1">
      <c r="R878" s="27"/>
      <c r="T878" s="27"/>
    </row>
    <row r="879" ht="15.75" customHeight="1">
      <c r="R879" s="27"/>
      <c r="T879" s="27"/>
    </row>
    <row r="880" ht="15.75" customHeight="1">
      <c r="R880" s="27"/>
      <c r="T880" s="27"/>
    </row>
    <row r="881" ht="15.75" customHeight="1">
      <c r="R881" s="27"/>
      <c r="T881" s="27"/>
    </row>
    <row r="882" ht="15.75" customHeight="1">
      <c r="R882" s="27"/>
      <c r="T882" s="27"/>
    </row>
    <row r="883" ht="15.75" customHeight="1">
      <c r="R883" s="27"/>
      <c r="T883" s="27"/>
    </row>
    <row r="884" ht="15.75" customHeight="1">
      <c r="R884" s="27"/>
      <c r="T884" s="27"/>
    </row>
    <row r="885" ht="15.75" customHeight="1">
      <c r="R885" s="27"/>
      <c r="T885" s="27"/>
    </row>
    <row r="886" ht="15.75" customHeight="1">
      <c r="R886" s="27"/>
      <c r="T886" s="27"/>
    </row>
    <row r="887" ht="15.75" customHeight="1">
      <c r="R887" s="27"/>
      <c r="T887" s="27"/>
    </row>
    <row r="888" ht="15.75" customHeight="1">
      <c r="R888" s="27"/>
      <c r="T888" s="27"/>
    </row>
    <row r="889" ht="15.75" customHeight="1">
      <c r="R889" s="27"/>
      <c r="T889" s="27"/>
    </row>
    <row r="890" ht="15.75" customHeight="1">
      <c r="R890" s="27"/>
      <c r="T890" s="27"/>
    </row>
    <row r="891" ht="15.75" customHeight="1">
      <c r="R891" s="27"/>
      <c r="T891" s="27"/>
    </row>
    <row r="892" ht="15.75" customHeight="1">
      <c r="R892" s="27"/>
      <c r="T892" s="27"/>
    </row>
    <row r="893" ht="15.75" customHeight="1">
      <c r="R893" s="27"/>
      <c r="T893" s="27"/>
    </row>
    <row r="894" ht="15.75" customHeight="1">
      <c r="R894" s="27"/>
      <c r="T894" s="27"/>
    </row>
    <row r="895" ht="15.75" customHeight="1">
      <c r="R895" s="27"/>
      <c r="T895" s="27"/>
    </row>
    <row r="896" ht="15.75" customHeight="1">
      <c r="R896" s="27"/>
      <c r="T896" s="27"/>
    </row>
    <row r="897" ht="15.75" customHeight="1">
      <c r="R897" s="27"/>
      <c r="T897" s="27"/>
    </row>
    <row r="898" ht="15.75" customHeight="1">
      <c r="R898" s="27"/>
      <c r="T898" s="27"/>
    </row>
    <row r="899" ht="15.75" customHeight="1">
      <c r="R899" s="27"/>
      <c r="T899" s="27"/>
    </row>
    <row r="900" ht="15.75" customHeight="1">
      <c r="R900" s="27"/>
      <c r="T900" s="27"/>
    </row>
    <row r="901" ht="15.75" customHeight="1">
      <c r="R901" s="27"/>
      <c r="T901" s="27"/>
    </row>
    <row r="902" ht="15.75" customHeight="1">
      <c r="R902" s="27"/>
      <c r="T902" s="27"/>
    </row>
    <row r="903" ht="15.75" customHeight="1">
      <c r="R903" s="27"/>
      <c r="T903" s="27"/>
    </row>
    <row r="904" ht="15.75" customHeight="1">
      <c r="R904" s="27"/>
      <c r="T904" s="27"/>
    </row>
    <row r="905" ht="15.75" customHeight="1">
      <c r="R905" s="27"/>
      <c r="T905" s="27"/>
    </row>
    <row r="906" ht="15.75" customHeight="1">
      <c r="R906" s="27"/>
      <c r="T906" s="27"/>
    </row>
    <row r="907" ht="15.75" customHeight="1">
      <c r="R907" s="27"/>
      <c r="T907" s="27"/>
    </row>
    <row r="908" ht="15.75" customHeight="1">
      <c r="R908" s="27"/>
      <c r="T908" s="27"/>
    </row>
    <row r="909" ht="15.75" customHeight="1">
      <c r="R909" s="27"/>
      <c r="T909" s="27"/>
    </row>
    <row r="910" ht="15.75" customHeight="1">
      <c r="R910" s="27"/>
      <c r="T910" s="27"/>
    </row>
    <row r="911" ht="15.75" customHeight="1">
      <c r="R911" s="27"/>
      <c r="T911" s="27"/>
    </row>
    <row r="912" ht="15.75" customHeight="1">
      <c r="R912" s="27"/>
      <c r="T912" s="27"/>
    </row>
    <row r="913" ht="15.75" customHeight="1">
      <c r="R913" s="27"/>
      <c r="T913" s="27"/>
    </row>
    <row r="914" ht="15.75" customHeight="1">
      <c r="R914" s="27"/>
      <c r="T914" s="27"/>
    </row>
    <row r="915" ht="15.75" customHeight="1">
      <c r="R915" s="27"/>
      <c r="T915" s="27"/>
    </row>
    <row r="916" ht="15.75" customHeight="1">
      <c r="R916" s="27"/>
      <c r="T916" s="27"/>
    </row>
    <row r="917" ht="15.75" customHeight="1">
      <c r="R917" s="27"/>
      <c r="T917" s="27"/>
    </row>
    <row r="918" ht="15.75" customHeight="1">
      <c r="R918" s="27"/>
      <c r="T918" s="27"/>
    </row>
    <row r="919" ht="15.75" customHeight="1">
      <c r="R919" s="27"/>
      <c r="T919" s="27"/>
    </row>
    <row r="920" ht="15.75" customHeight="1">
      <c r="R920" s="27"/>
      <c r="T920" s="27"/>
    </row>
    <row r="921" ht="15.75" customHeight="1">
      <c r="R921" s="27"/>
      <c r="T921" s="27"/>
    </row>
    <row r="922" ht="15.75" customHeight="1">
      <c r="R922" s="27"/>
      <c r="T922" s="27"/>
    </row>
    <row r="923" ht="15.75" customHeight="1">
      <c r="R923" s="27"/>
      <c r="T923" s="27"/>
    </row>
    <row r="924" ht="15.75" customHeight="1">
      <c r="R924" s="27"/>
      <c r="T924" s="27"/>
    </row>
    <row r="925" ht="15.75" customHeight="1">
      <c r="R925" s="27"/>
      <c r="T925" s="27"/>
    </row>
    <row r="926" ht="15.75" customHeight="1">
      <c r="R926" s="27"/>
      <c r="T926" s="27"/>
    </row>
    <row r="927" ht="15.75" customHeight="1">
      <c r="R927" s="27"/>
      <c r="T927" s="27"/>
    </row>
    <row r="928" ht="15.75" customHeight="1">
      <c r="R928" s="27"/>
      <c r="T928" s="27"/>
    </row>
    <row r="929" ht="15.75" customHeight="1">
      <c r="R929" s="27"/>
      <c r="T929" s="27"/>
    </row>
    <row r="930" ht="15.75" customHeight="1">
      <c r="R930" s="27"/>
      <c r="T930" s="27"/>
    </row>
    <row r="931" ht="15.75" customHeight="1">
      <c r="R931" s="27"/>
      <c r="T931" s="27"/>
    </row>
    <row r="932" ht="15.75" customHeight="1">
      <c r="R932" s="27"/>
      <c r="T932" s="27"/>
    </row>
    <row r="933" ht="15.75" customHeight="1">
      <c r="R933" s="27"/>
      <c r="T933" s="27"/>
    </row>
    <row r="934" ht="15.75" customHeight="1">
      <c r="R934" s="27"/>
      <c r="T934" s="27"/>
    </row>
    <row r="935" ht="15.75" customHeight="1">
      <c r="R935" s="27"/>
      <c r="T935" s="27"/>
    </row>
    <row r="936" ht="15.75" customHeight="1">
      <c r="R936" s="27"/>
      <c r="T936" s="27"/>
    </row>
    <row r="937" ht="15.75" customHeight="1">
      <c r="R937" s="27"/>
      <c r="T937" s="27"/>
    </row>
    <row r="938" ht="15.75" customHeight="1">
      <c r="R938" s="27"/>
      <c r="T938" s="27"/>
    </row>
    <row r="939" ht="15.75" customHeight="1">
      <c r="R939" s="27"/>
      <c r="T939" s="27"/>
    </row>
    <row r="940" ht="15.75" customHeight="1">
      <c r="R940" s="27"/>
      <c r="T940" s="27"/>
    </row>
    <row r="941" ht="15.75" customHeight="1">
      <c r="R941" s="27"/>
      <c r="T941" s="27"/>
    </row>
    <row r="942" ht="15.75" customHeight="1">
      <c r="R942" s="27"/>
      <c r="T942" s="27"/>
    </row>
    <row r="943" ht="15.75" customHeight="1">
      <c r="R943" s="27"/>
      <c r="T943" s="27"/>
    </row>
    <row r="944" ht="15.75" customHeight="1">
      <c r="R944" s="27"/>
      <c r="T944" s="27"/>
    </row>
    <row r="945" ht="15.75" customHeight="1">
      <c r="R945" s="27"/>
      <c r="T945" s="27"/>
    </row>
    <row r="946" ht="15.75" customHeight="1">
      <c r="R946" s="27"/>
      <c r="T946" s="27"/>
    </row>
    <row r="947" ht="15.75" customHeight="1">
      <c r="R947" s="27"/>
      <c r="T947" s="27"/>
    </row>
    <row r="948" ht="15.75" customHeight="1">
      <c r="R948" s="27"/>
      <c r="T948" s="27"/>
    </row>
    <row r="949" ht="15.75" customHeight="1">
      <c r="R949" s="27"/>
      <c r="T949" s="27"/>
    </row>
    <row r="950" ht="15.75" customHeight="1">
      <c r="R950" s="27"/>
      <c r="T950" s="27"/>
    </row>
    <row r="951" ht="15.75" customHeight="1">
      <c r="R951" s="27"/>
      <c r="T951" s="27"/>
    </row>
    <row r="952" ht="15.75" customHeight="1">
      <c r="R952" s="27"/>
      <c r="T952" s="27"/>
    </row>
    <row r="953" ht="15.75" customHeight="1">
      <c r="R953" s="27"/>
      <c r="T953" s="27"/>
    </row>
    <row r="954" ht="15.75" customHeight="1">
      <c r="R954" s="27"/>
      <c r="T954" s="27"/>
    </row>
    <row r="955" ht="15.75" customHeight="1">
      <c r="R955" s="27"/>
      <c r="T955" s="27"/>
    </row>
    <row r="956" ht="15.75" customHeight="1">
      <c r="R956" s="27"/>
      <c r="T956" s="27"/>
    </row>
    <row r="957" ht="15.75" customHeight="1">
      <c r="R957" s="27"/>
      <c r="T957" s="27"/>
    </row>
    <row r="958" ht="15.75" customHeight="1">
      <c r="R958" s="27"/>
      <c r="T958" s="27"/>
    </row>
    <row r="959" ht="15.75" customHeight="1">
      <c r="R959" s="27"/>
      <c r="T959" s="27"/>
    </row>
    <row r="960" ht="15.75" customHeight="1">
      <c r="R960" s="27"/>
      <c r="T960" s="27"/>
    </row>
    <row r="961" ht="15.75" customHeight="1">
      <c r="R961" s="27"/>
      <c r="T961" s="27"/>
    </row>
    <row r="962" ht="15.75" customHeight="1">
      <c r="R962" s="27"/>
      <c r="T962" s="27"/>
    </row>
    <row r="963" ht="15.75" customHeight="1">
      <c r="R963" s="27"/>
      <c r="T963" s="27"/>
    </row>
    <row r="964" ht="15.75" customHeight="1">
      <c r="R964" s="27"/>
      <c r="T964" s="27"/>
    </row>
    <row r="965" ht="15.75" customHeight="1">
      <c r="R965" s="27"/>
      <c r="T965" s="27"/>
    </row>
    <row r="966" ht="15.75" customHeight="1">
      <c r="R966" s="27"/>
      <c r="T966" s="27"/>
    </row>
    <row r="967" ht="15.75" customHeight="1">
      <c r="R967" s="27"/>
      <c r="T967" s="27"/>
    </row>
    <row r="968" ht="15.75" customHeight="1">
      <c r="R968" s="27"/>
      <c r="T968" s="27"/>
    </row>
    <row r="969" ht="15.75" customHeight="1">
      <c r="R969" s="27"/>
      <c r="T969" s="27"/>
    </row>
    <row r="970" ht="15.75" customHeight="1">
      <c r="R970" s="27"/>
      <c r="T970" s="27"/>
    </row>
    <row r="971" ht="15.75" customHeight="1">
      <c r="R971" s="27"/>
      <c r="T971" s="27"/>
    </row>
    <row r="972" ht="15.75" customHeight="1">
      <c r="R972" s="27"/>
      <c r="T972" s="27"/>
    </row>
    <row r="973" ht="15.75" customHeight="1">
      <c r="R973" s="27"/>
      <c r="T973" s="27"/>
    </row>
    <row r="974" ht="15.75" customHeight="1">
      <c r="R974" s="27"/>
      <c r="T974" s="27"/>
    </row>
    <row r="975" ht="15.75" customHeight="1">
      <c r="R975" s="27"/>
      <c r="T975" s="27"/>
    </row>
    <row r="976" ht="15.75" customHeight="1">
      <c r="R976" s="27"/>
      <c r="T976" s="27"/>
    </row>
    <row r="977" ht="15.75" customHeight="1">
      <c r="R977" s="27"/>
      <c r="T977" s="27"/>
    </row>
    <row r="978" ht="15.75" customHeight="1">
      <c r="R978" s="27"/>
      <c r="T978" s="27"/>
    </row>
    <row r="979" ht="15.75" customHeight="1">
      <c r="R979" s="27"/>
      <c r="T979" s="27"/>
    </row>
    <row r="980" ht="15.75" customHeight="1">
      <c r="R980" s="27"/>
      <c r="T980" s="27"/>
    </row>
    <row r="981" ht="15.75" customHeight="1">
      <c r="R981" s="27"/>
      <c r="T981" s="27"/>
    </row>
    <row r="982" ht="15.75" customHeight="1">
      <c r="R982" s="27"/>
      <c r="T982" s="27"/>
    </row>
    <row r="983" ht="15.75" customHeight="1">
      <c r="R983" s="27"/>
      <c r="T983" s="27"/>
    </row>
    <row r="984" ht="15.75" customHeight="1">
      <c r="R984" s="27"/>
      <c r="T984" s="27"/>
    </row>
    <row r="985" ht="15.75" customHeight="1">
      <c r="R985" s="27"/>
      <c r="T985" s="27"/>
    </row>
    <row r="986" ht="15.75" customHeight="1">
      <c r="R986" s="27"/>
      <c r="T986" s="27"/>
    </row>
    <row r="987" ht="15.75" customHeight="1">
      <c r="R987" s="27"/>
      <c r="T987" s="27"/>
    </row>
    <row r="988" ht="15.75" customHeight="1">
      <c r="R988" s="27"/>
      <c r="T988" s="27"/>
    </row>
    <row r="989" ht="15.75" customHeight="1">
      <c r="R989" s="27"/>
      <c r="T989" s="27"/>
    </row>
    <row r="990" ht="15.75" customHeight="1">
      <c r="R990" s="27"/>
      <c r="T990" s="27"/>
    </row>
    <row r="991" ht="15.75" customHeight="1">
      <c r="R991" s="27"/>
      <c r="T991" s="27"/>
    </row>
    <row r="992" ht="15.75" customHeight="1">
      <c r="R992" s="27"/>
      <c r="T992" s="27"/>
    </row>
    <row r="993" ht="15.75" customHeight="1">
      <c r="R993" s="27"/>
      <c r="T993" s="27"/>
    </row>
    <row r="994" ht="15.75" customHeight="1">
      <c r="R994" s="27"/>
      <c r="T994" s="27"/>
    </row>
    <row r="995" ht="15.75" customHeight="1">
      <c r="R995" s="27"/>
      <c r="T995" s="27"/>
    </row>
    <row r="996" ht="15.75" customHeight="1">
      <c r="R996" s="27"/>
      <c r="T996" s="27"/>
    </row>
    <row r="997" ht="15.75" customHeight="1">
      <c r="R997" s="27"/>
      <c r="T997" s="27"/>
    </row>
    <row r="998" ht="15.75" customHeight="1">
      <c r="R998" s="27"/>
      <c r="T998" s="27"/>
    </row>
    <row r="999" ht="15.75" customHeight="1">
      <c r="R999" s="27"/>
      <c r="T999" s="27"/>
    </row>
    <row r="1000" ht="15.75" customHeight="1">
      <c r="R1000" s="27"/>
      <c r="T1000" s="27"/>
    </row>
    <row r="1001" ht="15.75" customHeight="1">
      <c r="R1001" s="27"/>
      <c r="T1001" s="27"/>
    </row>
    <row r="1002" ht="15.75" customHeight="1">
      <c r="R1002" s="27"/>
      <c r="T1002" s="27"/>
    </row>
  </sheetData>
  <printOptions gridLines="1"/>
  <pageMargins bottom="0.75" footer="0.0" header="0.0" left="0.25" right="0.25" top="0.75"/>
  <pageSetup fitToWidth="0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9.38"/>
    <col customWidth="1" min="2" max="2" width="14.25"/>
    <col customWidth="1" min="3" max="3" width="25.5"/>
    <col customWidth="1" min="4" max="4" width="24.75"/>
    <col customWidth="1" min="5" max="5" width="26.88"/>
    <col customWidth="1" min="6" max="6" width="33.5"/>
    <col customWidth="1" min="7" max="7" width="26.13"/>
    <col customWidth="1" min="8" max="8" width="29.25"/>
    <col customWidth="1" min="9" max="9" width="22.88"/>
    <col customWidth="1" min="10" max="10" width="24.25"/>
    <col customWidth="1" min="11" max="11" width="27.0"/>
    <col customWidth="1" min="12" max="12" width="19.38"/>
    <col customWidth="1" min="13" max="13" width="5.75"/>
    <col customWidth="1" min="14" max="14" width="12.0"/>
    <col customWidth="1" min="15" max="15" width="19.0"/>
    <col customWidth="1" min="17" max="17" width="23.5"/>
  </cols>
  <sheetData>
    <row r="1">
      <c r="A1" s="28" t="s">
        <v>1</v>
      </c>
      <c r="B1" s="28" t="s">
        <v>21</v>
      </c>
      <c r="C1" s="28" t="s">
        <v>3</v>
      </c>
      <c r="D1" s="28" t="s">
        <v>5</v>
      </c>
      <c r="E1" s="28" t="s">
        <v>7</v>
      </c>
      <c r="F1" s="28" t="s">
        <v>9</v>
      </c>
      <c r="G1" s="28" t="s">
        <v>11</v>
      </c>
      <c r="H1" s="28" t="s">
        <v>13</v>
      </c>
      <c r="I1" s="28" t="s">
        <v>15</v>
      </c>
      <c r="J1" s="28" t="s">
        <v>17</v>
      </c>
      <c r="K1" s="28" t="s">
        <v>19</v>
      </c>
      <c r="L1" s="28" t="s">
        <v>22</v>
      </c>
      <c r="M1" s="28" t="s">
        <v>23</v>
      </c>
      <c r="N1" s="28" t="s">
        <v>24</v>
      </c>
      <c r="O1" s="28" t="s">
        <v>25</v>
      </c>
      <c r="Q1" s="11"/>
    </row>
    <row r="2">
      <c r="A2" s="29">
        <v>46051.0</v>
      </c>
      <c r="B2" s="30">
        <v>9.3</v>
      </c>
      <c r="C2" s="30">
        <v>0.0</v>
      </c>
      <c r="D2" s="30">
        <v>0.0</v>
      </c>
      <c r="E2" s="30">
        <v>30.3</v>
      </c>
      <c r="F2" s="30">
        <v>0.2</v>
      </c>
      <c r="G2" s="30">
        <v>1.1</v>
      </c>
      <c r="H2" s="30">
        <v>0.2</v>
      </c>
      <c r="I2" s="30">
        <v>0.0</v>
      </c>
      <c r="J2" s="30">
        <v>31.8</v>
      </c>
      <c r="K2" s="30">
        <v>31.8</v>
      </c>
      <c r="L2" s="30">
        <v>65.0</v>
      </c>
      <c r="M2" s="11" t="s">
        <v>27</v>
      </c>
      <c r="N2" s="30">
        <v>0.4</v>
      </c>
      <c r="O2" s="30">
        <v>26.0</v>
      </c>
      <c r="Q2" s="11"/>
    </row>
    <row r="3">
      <c r="A3" s="29">
        <v>46052.0</v>
      </c>
      <c r="B3" s="30">
        <v>16.9</v>
      </c>
      <c r="C3" s="30">
        <v>0.0</v>
      </c>
      <c r="D3" s="30">
        <v>0.0</v>
      </c>
      <c r="E3" s="30">
        <v>15.1</v>
      </c>
      <c r="F3" s="30">
        <v>0.1</v>
      </c>
      <c r="G3" s="30">
        <v>0.4</v>
      </c>
      <c r="H3" s="30">
        <v>0.5</v>
      </c>
      <c r="I3" s="30">
        <v>0.0</v>
      </c>
      <c r="J3" s="30">
        <v>16.1</v>
      </c>
      <c r="K3" s="30">
        <v>16.1</v>
      </c>
      <c r="L3" s="30">
        <v>55.0</v>
      </c>
      <c r="M3" s="11" t="s">
        <v>29</v>
      </c>
      <c r="N3" s="30">
        <v>0.5</v>
      </c>
      <c r="O3" s="30">
        <v>27.5</v>
      </c>
      <c r="Q3" s="11"/>
    </row>
    <row r="4">
      <c r="A4" s="29">
        <v>46053.0</v>
      </c>
      <c r="B4" s="30">
        <v>18.0</v>
      </c>
      <c r="C4" s="30">
        <v>0.0</v>
      </c>
      <c r="D4" s="30">
        <v>0.0</v>
      </c>
      <c r="E4" s="30">
        <v>14.6</v>
      </c>
      <c r="F4" s="30">
        <v>0.1</v>
      </c>
      <c r="G4" s="30">
        <v>1.2</v>
      </c>
      <c r="H4" s="30">
        <v>1.8</v>
      </c>
      <c r="I4" s="30">
        <v>0.0</v>
      </c>
      <c r="J4" s="30">
        <v>17.6</v>
      </c>
      <c r="K4" s="30">
        <v>17.6</v>
      </c>
      <c r="L4" s="30">
        <v>55.0</v>
      </c>
      <c r="M4" s="11" t="s">
        <v>29</v>
      </c>
      <c r="N4" s="30">
        <v>1.0</v>
      </c>
      <c r="O4" s="30">
        <v>55.0</v>
      </c>
      <c r="Q4" s="11"/>
    </row>
    <row r="5">
      <c r="A5" s="29">
        <v>46054.0</v>
      </c>
      <c r="B5" s="30">
        <v>4.9</v>
      </c>
      <c r="C5" s="30">
        <v>0.0</v>
      </c>
      <c r="D5" s="30">
        <v>0.0</v>
      </c>
      <c r="E5" s="30">
        <v>0.0</v>
      </c>
      <c r="F5" s="30">
        <v>0.0</v>
      </c>
      <c r="G5" s="30">
        <v>0.0</v>
      </c>
      <c r="H5" s="30">
        <v>0.0</v>
      </c>
      <c r="I5" s="30">
        <v>0.0</v>
      </c>
      <c r="J5" s="30">
        <v>0.0</v>
      </c>
      <c r="K5" s="30">
        <v>0.0</v>
      </c>
      <c r="L5" s="30">
        <v>65.0</v>
      </c>
      <c r="M5" s="11" t="s">
        <v>27</v>
      </c>
      <c r="N5" s="30">
        <v>1.0</v>
      </c>
      <c r="O5" s="30">
        <v>65.0</v>
      </c>
      <c r="Q5" s="11"/>
    </row>
    <row r="6">
      <c r="A6" s="29">
        <v>46055.0</v>
      </c>
      <c r="B6" s="30">
        <v>4.8</v>
      </c>
      <c r="C6" s="30">
        <v>0.6</v>
      </c>
      <c r="D6" s="30">
        <v>0.2</v>
      </c>
      <c r="E6" s="30">
        <v>91.7</v>
      </c>
      <c r="F6" s="30">
        <v>4.4</v>
      </c>
      <c r="G6" s="30">
        <v>18.5</v>
      </c>
      <c r="H6" s="30">
        <v>32.3</v>
      </c>
      <c r="I6" s="30">
        <v>0.8</v>
      </c>
      <c r="J6" s="30">
        <v>146.9</v>
      </c>
      <c r="K6" s="30">
        <v>147.7</v>
      </c>
      <c r="L6" s="30">
        <v>65.0</v>
      </c>
      <c r="M6" s="11" t="s">
        <v>27</v>
      </c>
      <c r="N6" s="30">
        <v>1.0</v>
      </c>
      <c r="O6" s="30">
        <v>65.0</v>
      </c>
      <c r="Q6" s="11"/>
    </row>
    <row r="7">
      <c r="A7" s="29">
        <v>46059.0</v>
      </c>
      <c r="B7" s="30">
        <v>9.3</v>
      </c>
      <c r="C7" s="30">
        <v>0.1</v>
      </c>
      <c r="D7" s="30">
        <v>0.0</v>
      </c>
      <c r="E7" s="30">
        <v>2.2</v>
      </c>
      <c r="F7" s="30">
        <v>0.0</v>
      </c>
      <c r="G7" s="30">
        <v>0.0</v>
      </c>
      <c r="H7" s="30">
        <v>4.1</v>
      </c>
      <c r="I7" s="30">
        <v>0.1</v>
      </c>
      <c r="J7" s="30">
        <v>6.2</v>
      </c>
      <c r="K7" s="30">
        <v>6.3</v>
      </c>
      <c r="L7" s="30">
        <v>100.0</v>
      </c>
      <c r="M7" s="11" t="s">
        <v>36</v>
      </c>
      <c r="N7" s="30">
        <v>0.9</v>
      </c>
      <c r="O7" s="30">
        <v>90.0</v>
      </c>
      <c r="Q7" s="11"/>
    </row>
    <row r="8">
      <c r="A8" s="29">
        <v>46060.0</v>
      </c>
      <c r="B8" s="30">
        <v>9.3</v>
      </c>
      <c r="C8" s="30">
        <v>0.0</v>
      </c>
      <c r="D8" s="30">
        <v>0.0</v>
      </c>
      <c r="E8" s="30">
        <v>25.1</v>
      </c>
      <c r="F8" s="30">
        <v>0.0</v>
      </c>
      <c r="G8" s="30">
        <v>0.0</v>
      </c>
      <c r="H8" s="30">
        <v>7.2</v>
      </c>
      <c r="I8" s="30">
        <v>0.0</v>
      </c>
      <c r="J8" s="30">
        <v>32.3</v>
      </c>
      <c r="K8" s="30">
        <v>32.3</v>
      </c>
      <c r="L8" s="30">
        <v>100.0</v>
      </c>
      <c r="M8" s="11" t="s">
        <v>36</v>
      </c>
      <c r="N8" s="30">
        <v>0.9</v>
      </c>
      <c r="O8" s="30">
        <v>90.0</v>
      </c>
      <c r="Q8" s="11"/>
    </row>
    <row r="9">
      <c r="A9" s="29">
        <v>46061.0</v>
      </c>
      <c r="B9" s="30">
        <v>18.6</v>
      </c>
      <c r="C9" s="30">
        <v>0.3</v>
      </c>
      <c r="D9" s="30">
        <v>0.0</v>
      </c>
      <c r="E9" s="30">
        <v>29.4</v>
      </c>
      <c r="F9" s="30">
        <v>0.2</v>
      </c>
      <c r="G9" s="30">
        <v>2.4</v>
      </c>
      <c r="H9" s="30">
        <v>5.2</v>
      </c>
      <c r="I9" s="30">
        <v>0.3</v>
      </c>
      <c r="J9" s="30">
        <v>37.0</v>
      </c>
      <c r="K9" s="30">
        <v>37.4</v>
      </c>
      <c r="L9" s="30">
        <v>65.0</v>
      </c>
      <c r="M9" s="11" t="s">
        <v>27</v>
      </c>
      <c r="N9" s="30">
        <v>0.8</v>
      </c>
      <c r="O9" s="30">
        <v>52.0</v>
      </c>
      <c r="Q9" s="11"/>
    </row>
    <row r="10">
      <c r="A10" s="29">
        <v>46074.0</v>
      </c>
      <c r="B10" s="30">
        <v>13.200000000000001</v>
      </c>
      <c r="C10" s="30">
        <v>0.1</v>
      </c>
      <c r="D10" s="30">
        <v>0.0</v>
      </c>
      <c r="E10" s="30">
        <v>37.0</v>
      </c>
      <c r="F10" s="30">
        <v>0.2</v>
      </c>
      <c r="G10" s="30">
        <v>3.4</v>
      </c>
      <c r="H10" s="30">
        <v>2.1</v>
      </c>
      <c r="I10" s="30">
        <v>0.1</v>
      </c>
      <c r="J10" s="30">
        <v>42.7</v>
      </c>
      <c r="K10" s="30">
        <v>42.0</v>
      </c>
      <c r="L10" s="30">
        <v>65.0</v>
      </c>
      <c r="M10" s="11" t="s">
        <v>27</v>
      </c>
      <c r="N10" s="30">
        <v>0.7</v>
      </c>
      <c r="O10" s="30">
        <v>45.5</v>
      </c>
      <c r="Q10" s="11"/>
    </row>
    <row r="11">
      <c r="A11" s="29">
        <v>46073.0</v>
      </c>
      <c r="B11" s="30">
        <v>18.6</v>
      </c>
      <c r="C11" s="30">
        <v>0.1</v>
      </c>
      <c r="D11" s="30">
        <v>0.0</v>
      </c>
      <c r="E11" s="30">
        <v>35.6</v>
      </c>
      <c r="F11" s="30">
        <v>0.5</v>
      </c>
      <c r="G11" s="30">
        <v>3.4</v>
      </c>
      <c r="H11" s="30">
        <v>2.7</v>
      </c>
      <c r="I11" s="30">
        <v>0.1</v>
      </c>
      <c r="J11" s="30">
        <v>42.3</v>
      </c>
      <c r="K11" s="30">
        <v>42.4</v>
      </c>
      <c r="L11" s="30">
        <v>100.0</v>
      </c>
      <c r="M11" s="11" t="s">
        <v>36</v>
      </c>
      <c r="N11" s="30">
        <v>0.3</v>
      </c>
      <c r="O11" s="30">
        <v>30.0</v>
      </c>
    </row>
    <row r="12">
      <c r="A12" s="29">
        <v>46072.0</v>
      </c>
      <c r="B12" s="30">
        <v>18.6</v>
      </c>
      <c r="C12" s="30">
        <v>0.0</v>
      </c>
      <c r="D12" s="30">
        <v>0.0</v>
      </c>
      <c r="E12" s="30">
        <v>22.4</v>
      </c>
      <c r="F12" s="30">
        <v>0.1</v>
      </c>
      <c r="G12" s="30">
        <v>1.2</v>
      </c>
      <c r="H12" s="30">
        <v>2.3</v>
      </c>
      <c r="I12" s="30">
        <v>0.0</v>
      </c>
      <c r="J12" s="30">
        <v>26.0</v>
      </c>
      <c r="K12" s="30">
        <v>26.0</v>
      </c>
      <c r="L12" s="30">
        <v>100.0</v>
      </c>
      <c r="M12" s="11" t="s">
        <v>36</v>
      </c>
      <c r="N12" s="30">
        <v>0.3</v>
      </c>
      <c r="O12" s="30">
        <v>30.0</v>
      </c>
    </row>
    <row r="13">
      <c r="A13" s="29">
        <v>46076.0</v>
      </c>
      <c r="B13" s="30">
        <v>18.6</v>
      </c>
      <c r="C13" s="30">
        <v>0.2</v>
      </c>
      <c r="D13" s="30">
        <v>0.0</v>
      </c>
      <c r="E13" s="30">
        <v>32.7</v>
      </c>
      <c r="F13" s="30">
        <v>0.5</v>
      </c>
      <c r="G13" s="30">
        <v>2.1</v>
      </c>
      <c r="H13" s="30">
        <v>2.7</v>
      </c>
      <c r="I13" s="30">
        <v>0.2</v>
      </c>
      <c r="J13" s="30">
        <v>38.0</v>
      </c>
      <c r="K13" s="30">
        <v>38.2</v>
      </c>
      <c r="L13" s="30">
        <v>65.0</v>
      </c>
      <c r="M13" s="11" t="s">
        <v>27</v>
      </c>
      <c r="N13" s="30">
        <v>1.0</v>
      </c>
      <c r="O13" s="30">
        <v>65.0</v>
      </c>
    </row>
    <row r="14">
      <c r="A14" s="29">
        <v>46077.0</v>
      </c>
      <c r="B14" s="30">
        <v>18.6</v>
      </c>
      <c r="C14" s="30">
        <v>0.2</v>
      </c>
      <c r="D14" s="30">
        <v>0.0</v>
      </c>
      <c r="E14" s="30">
        <v>41.8</v>
      </c>
      <c r="F14" s="30">
        <v>0.8</v>
      </c>
      <c r="G14" s="30">
        <v>8.2</v>
      </c>
      <c r="H14" s="30">
        <v>5.2</v>
      </c>
      <c r="I14" s="30">
        <v>0.2</v>
      </c>
      <c r="J14" s="30">
        <v>55.9</v>
      </c>
      <c r="K14" s="30">
        <v>56.1</v>
      </c>
      <c r="L14" s="30">
        <v>65.0</v>
      </c>
      <c r="M14" s="11" t="s">
        <v>27</v>
      </c>
      <c r="N14" s="30">
        <v>1.0</v>
      </c>
      <c r="O14" s="30">
        <v>65.0</v>
      </c>
    </row>
    <row r="15">
      <c r="A15" s="29">
        <v>46078.0</v>
      </c>
      <c r="B15" s="30">
        <v>14.8</v>
      </c>
      <c r="C15" s="30">
        <v>0.0</v>
      </c>
      <c r="D15" s="30">
        <v>0.0</v>
      </c>
      <c r="E15" s="30">
        <v>38.2</v>
      </c>
      <c r="F15" s="30">
        <v>1.4</v>
      </c>
      <c r="G15" s="30">
        <v>4.9</v>
      </c>
      <c r="H15" s="30">
        <v>2.4</v>
      </c>
      <c r="I15" s="30">
        <v>0.0</v>
      </c>
      <c r="J15" s="30">
        <v>47.0</v>
      </c>
      <c r="K15" s="30">
        <v>47.0</v>
      </c>
      <c r="L15" s="30">
        <v>100.0</v>
      </c>
      <c r="M15" s="11" t="s">
        <v>36</v>
      </c>
      <c r="N15" s="30">
        <v>0.9</v>
      </c>
      <c r="O15" s="30">
        <v>90.0</v>
      </c>
    </row>
    <row r="16">
      <c r="A16" s="29">
        <v>46081.0</v>
      </c>
      <c r="B16" s="30">
        <v>27.900000000000002</v>
      </c>
      <c r="C16" s="30">
        <v>0.0</v>
      </c>
      <c r="D16" s="30">
        <v>0.0</v>
      </c>
      <c r="E16" s="30">
        <v>33.8</v>
      </c>
      <c r="F16" s="30">
        <v>0.2</v>
      </c>
      <c r="G16" s="30">
        <v>0.7</v>
      </c>
      <c r="H16" s="30">
        <v>3.9</v>
      </c>
      <c r="I16" s="30">
        <v>0.0</v>
      </c>
      <c r="J16" s="30">
        <v>38.7</v>
      </c>
      <c r="K16" s="30">
        <v>38.7</v>
      </c>
      <c r="L16" s="30">
        <v>100.0</v>
      </c>
      <c r="M16" s="11" t="s">
        <v>36</v>
      </c>
      <c r="N16" s="30">
        <v>0.7</v>
      </c>
      <c r="O16" s="30">
        <v>70.0</v>
      </c>
    </row>
    <row r="17">
      <c r="A17" s="29">
        <v>46080.0</v>
      </c>
      <c r="B17" s="30">
        <v>18.6</v>
      </c>
      <c r="C17" s="30">
        <v>0.1</v>
      </c>
      <c r="D17" s="30">
        <v>0.1</v>
      </c>
      <c r="E17" s="30">
        <v>34.8</v>
      </c>
      <c r="F17" s="30">
        <v>0.6</v>
      </c>
      <c r="G17" s="30">
        <v>2.8</v>
      </c>
      <c r="H17" s="30">
        <v>1.2</v>
      </c>
      <c r="I17" s="30">
        <v>0.2</v>
      </c>
      <c r="J17" s="30">
        <v>39.4</v>
      </c>
      <c r="K17" s="30">
        <v>39.6</v>
      </c>
      <c r="L17" s="30">
        <v>100.0</v>
      </c>
      <c r="M17" s="11" t="s">
        <v>36</v>
      </c>
      <c r="N17" s="30">
        <v>0.75</v>
      </c>
      <c r="O17" s="30">
        <v>75.0</v>
      </c>
    </row>
    <row r="18">
      <c r="A18" s="29">
        <v>46082.0</v>
      </c>
      <c r="B18" s="30">
        <v>15.100000000000001</v>
      </c>
      <c r="C18" s="30">
        <v>0.0</v>
      </c>
      <c r="D18" s="30">
        <v>0.1</v>
      </c>
      <c r="E18" s="30">
        <v>59.6</v>
      </c>
      <c r="F18" s="30">
        <v>0.3</v>
      </c>
      <c r="G18" s="30">
        <v>3.2</v>
      </c>
      <c r="H18" s="30">
        <v>1.7</v>
      </c>
      <c r="I18" s="30">
        <v>0.1</v>
      </c>
      <c r="J18" s="30">
        <v>64.8</v>
      </c>
      <c r="K18" s="30">
        <v>64.9</v>
      </c>
      <c r="L18" s="30">
        <v>65.0</v>
      </c>
      <c r="M18" s="11" t="s">
        <v>27</v>
      </c>
      <c r="N18" s="30">
        <v>0.6</v>
      </c>
      <c r="O18" s="30">
        <v>39.0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4.63"/>
    <col customWidth="1" min="2" max="2" width="10.88"/>
    <col customWidth="1" min="3" max="3" width="13.0"/>
    <col customWidth="1" hidden="1" min="4" max="4" width="7.63"/>
    <col customWidth="1" hidden="1" min="5" max="5" width="16.63"/>
    <col customWidth="1" min="6" max="6" width="16.25"/>
    <col customWidth="1" min="7" max="7" width="17.88"/>
    <col customWidth="1" min="8" max="8" width="9.75"/>
    <col customWidth="1" min="9" max="9" width="11.63"/>
    <col customWidth="1" min="10" max="10" width="3.0"/>
    <col customWidth="1" min="11" max="11" width="15.25"/>
    <col customWidth="1" min="12" max="12" width="15.75"/>
    <col customWidth="1" min="13" max="13" width="16.5"/>
    <col customWidth="1" min="14" max="14" width="9.75"/>
    <col customWidth="1" min="15" max="15" width="11.63"/>
    <col customWidth="1" min="16" max="16" width="3.0"/>
    <col customWidth="1" min="17" max="17" width="15.25"/>
    <col customWidth="1" min="18" max="18" width="15.75"/>
    <col customWidth="1" min="19" max="19" width="16.5"/>
  </cols>
  <sheetData>
    <row r="1">
      <c r="A1" s="31" t="s">
        <v>67</v>
      </c>
    </row>
    <row r="2">
      <c r="A2" s="32" t="s">
        <v>68</v>
      </c>
      <c r="B2" s="33"/>
      <c r="C2" s="33"/>
      <c r="D2" s="33"/>
    </row>
    <row r="3">
      <c r="A3" s="34" t="s">
        <v>69</v>
      </c>
      <c r="B3" s="34" t="s">
        <v>70</v>
      </c>
      <c r="C3" s="34" t="s">
        <v>71</v>
      </c>
      <c r="D3" s="34" t="s">
        <v>72</v>
      </c>
      <c r="E3" s="34" t="s">
        <v>73</v>
      </c>
      <c r="F3" s="34" t="s">
        <v>74</v>
      </c>
      <c r="G3" s="34" t="s">
        <v>75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>
      <c r="A4" s="11" t="s">
        <v>13</v>
      </c>
      <c r="B4" s="11">
        <v>0.5016</v>
      </c>
      <c r="C4" s="11">
        <v>0.4722</v>
      </c>
      <c r="D4" s="11">
        <v>16.0</v>
      </c>
      <c r="E4" s="11">
        <v>1.0</v>
      </c>
      <c r="F4" s="11" t="s">
        <v>76</v>
      </c>
      <c r="G4" s="11" t="s">
        <v>76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>
      <c r="A5" s="11" t="s">
        <v>3</v>
      </c>
      <c r="B5" s="30">
        <v>0.1649</v>
      </c>
      <c r="C5" s="30">
        <v>0.1717</v>
      </c>
      <c r="D5" s="11">
        <v>15.0</v>
      </c>
      <c r="E5" s="30">
        <v>2.0</v>
      </c>
      <c r="F5" s="11" t="s">
        <v>77</v>
      </c>
      <c r="G5" s="11" t="s">
        <v>77</v>
      </c>
      <c r="L5" s="33"/>
      <c r="M5" s="33"/>
      <c r="R5" s="33"/>
      <c r="S5" s="33"/>
    </row>
    <row r="6">
      <c r="A6" s="11" t="s">
        <v>15</v>
      </c>
      <c r="B6" s="11">
        <v>0.081</v>
      </c>
      <c r="C6" s="11">
        <v>0.0864</v>
      </c>
      <c r="D6" s="11">
        <v>16.0</v>
      </c>
      <c r="E6" s="30">
        <v>1.0</v>
      </c>
      <c r="F6" s="11" t="s">
        <v>77</v>
      </c>
      <c r="G6" s="11" t="s">
        <v>77</v>
      </c>
      <c r="H6" s="33"/>
      <c r="I6" s="33"/>
      <c r="L6" s="33"/>
      <c r="M6" s="33"/>
      <c r="N6" s="33"/>
      <c r="O6" s="33"/>
      <c r="R6" s="33"/>
      <c r="S6" s="33"/>
    </row>
    <row r="7">
      <c r="A7" s="11" t="s">
        <v>11</v>
      </c>
      <c r="B7" s="30">
        <v>-0.069</v>
      </c>
      <c r="C7" s="30">
        <v>-0.1588</v>
      </c>
      <c r="D7" s="11">
        <v>15.0</v>
      </c>
      <c r="E7" s="30">
        <v>2.0</v>
      </c>
      <c r="F7" s="11" t="s">
        <v>77</v>
      </c>
      <c r="G7" s="11" t="s">
        <v>77</v>
      </c>
      <c r="L7" s="33"/>
      <c r="M7" s="33"/>
      <c r="R7" s="33"/>
      <c r="S7" s="33"/>
    </row>
    <row r="8">
      <c r="A8" s="11" t="s">
        <v>17</v>
      </c>
      <c r="B8" s="30">
        <v>-0.0442</v>
      </c>
      <c r="C8" s="30">
        <v>0.1059</v>
      </c>
      <c r="D8" s="11">
        <v>15.0</v>
      </c>
      <c r="E8" s="30">
        <v>2.0</v>
      </c>
      <c r="F8" s="11" t="s">
        <v>77</v>
      </c>
      <c r="G8" s="11" t="s">
        <v>77</v>
      </c>
      <c r="L8" s="33"/>
      <c r="M8" s="33"/>
      <c r="R8" s="33"/>
      <c r="S8" s="33"/>
    </row>
    <row r="9">
      <c r="A9" s="11" t="s">
        <v>19</v>
      </c>
      <c r="B9" s="30">
        <v>-0.0417</v>
      </c>
      <c r="C9" s="30">
        <v>0.0969</v>
      </c>
      <c r="D9" s="11">
        <v>15.0</v>
      </c>
      <c r="E9" s="30">
        <v>2.0</v>
      </c>
      <c r="F9" s="11" t="s">
        <v>77</v>
      </c>
      <c r="G9" s="11" t="s">
        <v>77</v>
      </c>
      <c r="L9" s="33"/>
      <c r="M9" s="33"/>
      <c r="R9" s="33"/>
      <c r="S9" s="33"/>
    </row>
    <row r="10">
      <c r="A10" s="11" t="s">
        <v>9</v>
      </c>
      <c r="B10" s="30">
        <v>-0.0389</v>
      </c>
      <c r="C10" s="30">
        <v>-0.1379</v>
      </c>
      <c r="D10" s="11">
        <v>15.0</v>
      </c>
      <c r="E10" s="30">
        <v>2.0</v>
      </c>
      <c r="F10" s="11" t="s">
        <v>77</v>
      </c>
      <c r="G10" s="11" t="s">
        <v>77</v>
      </c>
      <c r="L10" s="33"/>
      <c r="M10" s="33"/>
      <c r="R10" s="33"/>
      <c r="S10" s="33"/>
    </row>
    <row r="11">
      <c r="A11" s="11" t="s">
        <v>7</v>
      </c>
      <c r="B11" s="30">
        <v>-0.0275</v>
      </c>
      <c r="C11" s="30">
        <v>0.0973</v>
      </c>
      <c r="D11" s="11">
        <v>14.0</v>
      </c>
      <c r="E11" s="30">
        <v>3.0</v>
      </c>
      <c r="F11" s="11" t="s">
        <v>77</v>
      </c>
      <c r="G11" s="11" t="s">
        <v>77</v>
      </c>
      <c r="L11" s="33"/>
      <c r="M11" s="33"/>
      <c r="R11" s="33"/>
      <c r="S11" s="33"/>
    </row>
    <row r="12">
      <c r="A12" s="11" t="s">
        <v>5</v>
      </c>
      <c r="B12" s="11" t="s">
        <v>78</v>
      </c>
      <c r="C12" s="11" t="s">
        <v>78</v>
      </c>
      <c r="D12" s="11">
        <v>14.0</v>
      </c>
      <c r="E12" s="30">
        <v>3.0</v>
      </c>
      <c r="F12" s="11" t="s">
        <v>79</v>
      </c>
      <c r="G12" s="11" t="s">
        <v>79</v>
      </c>
      <c r="L12" s="33"/>
      <c r="M12" s="33"/>
      <c r="R12" s="33"/>
      <c r="S12" s="33"/>
    </row>
    <row r="13">
      <c r="A13" s="33"/>
      <c r="F13" s="33"/>
      <c r="G13" s="33"/>
      <c r="L13" s="33"/>
      <c r="M13" s="33"/>
      <c r="R13" s="33"/>
      <c r="S13" s="33"/>
    </row>
  </sheetData>
  <conditionalFormatting sqref="B4:B12">
    <cfRule type="cellIs" dxfId="0" priority="1" stopIfTrue="1" operator="greaterThanOrEqual">
      <formula>0.7</formula>
    </cfRule>
  </conditionalFormatting>
  <conditionalFormatting sqref="B4:B12">
    <cfRule type="cellIs" dxfId="1" priority="2" stopIfTrue="1" operator="between">
      <formula>0.4</formula>
      <formula>0.699</formula>
    </cfRule>
  </conditionalFormatting>
  <conditionalFormatting sqref="B4:B12">
    <cfRule type="cellIs" dxfId="2" priority="3" stopIfTrue="1" operator="lessThanOrEqual">
      <formula>-0.7</formula>
    </cfRule>
  </conditionalFormatting>
  <conditionalFormatting sqref="B4:B12">
    <cfRule type="cellIs" dxfId="3" priority="4" stopIfTrue="1" operator="between">
      <formula>-0.699</formula>
      <formula>-0.4</formula>
    </cfRule>
  </conditionalFormatting>
  <conditionalFormatting sqref="C4:C12">
    <cfRule type="cellIs" dxfId="0" priority="5" stopIfTrue="1" operator="greaterThanOrEqual">
      <formula>0.7</formula>
    </cfRule>
  </conditionalFormatting>
  <conditionalFormatting sqref="C4:C12">
    <cfRule type="cellIs" dxfId="1" priority="6" stopIfTrue="1" operator="between">
      <formula>0.4</formula>
      <formula>0.699</formula>
    </cfRule>
  </conditionalFormatting>
  <conditionalFormatting sqref="C4:C12">
    <cfRule type="cellIs" dxfId="2" priority="7" stopIfTrue="1" operator="lessThanOrEqual">
      <formula>-0.7</formula>
    </cfRule>
  </conditionalFormatting>
  <conditionalFormatting sqref="C4:C12">
    <cfRule type="cellIs" dxfId="3" priority="8" stopIfTrue="1" operator="between">
      <formula>-0.699</formula>
      <formula>-0.4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9.0"/>
  </cols>
  <sheetData>
    <row r="1">
      <c r="A1" s="34" t="s">
        <v>13</v>
      </c>
      <c r="B1" s="34" t="s">
        <v>25</v>
      </c>
    </row>
    <row r="2">
      <c r="A2" s="30">
        <v>0.2</v>
      </c>
      <c r="B2" s="30">
        <v>26.0</v>
      </c>
    </row>
    <row r="3">
      <c r="A3" s="30">
        <v>0.5</v>
      </c>
      <c r="B3" s="30">
        <v>27.5</v>
      </c>
    </row>
    <row r="4">
      <c r="A4" s="30">
        <v>1.8</v>
      </c>
      <c r="B4" s="30">
        <v>55.0</v>
      </c>
    </row>
    <row r="5">
      <c r="A5" s="30">
        <v>0.0</v>
      </c>
      <c r="B5" s="30">
        <v>65.0</v>
      </c>
    </row>
    <row r="6">
      <c r="A6" s="30">
        <v>4.1</v>
      </c>
      <c r="B6" s="30">
        <v>90.0</v>
      </c>
    </row>
    <row r="7">
      <c r="A7" s="30">
        <v>7.2</v>
      </c>
      <c r="B7" s="30">
        <v>100.0</v>
      </c>
    </row>
    <row r="8">
      <c r="A8" s="30">
        <v>5.2</v>
      </c>
      <c r="B8" s="30">
        <v>52.0</v>
      </c>
    </row>
    <row r="9">
      <c r="A9" s="30">
        <v>2.1</v>
      </c>
      <c r="B9" s="30">
        <v>45.5</v>
      </c>
    </row>
    <row r="10">
      <c r="A10" s="30">
        <v>2.7</v>
      </c>
      <c r="B10" s="30">
        <v>30.0</v>
      </c>
    </row>
    <row r="11">
      <c r="A11" s="30">
        <v>2.3</v>
      </c>
      <c r="B11" s="30">
        <v>30.0</v>
      </c>
    </row>
    <row r="12">
      <c r="A12" s="30">
        <v>2.7</v>
      </c>
      <c r="B12" s="30">
        <v>65.0</v>
      </c>
    </row>
    <row r="13">
      <c r="A13" s="30">
        <v>5.2</v>
      </c>
      <c r="B13" s="30">
        <v>65.0</v>
      </c>
    </row>
    <row r="14">
      <c r="A14" s="30">
        <v>2.4</v>
      </c>
      <c r="B14" s="30">
        <v>90.0</v>
      </c>
    </row>
    <row r="15">
      <c r="A15" s="30">
        <v>3.9</v>
      </c>
      <c r="B15" s="30">
        <v>70.0</v>
      </c>
    </row>
    <row r="16">
      <c r="A16" s="30">
        <v>1.2</v>
      </c>
      <c r="B16" s="30">
        <v>75.0</v>
      </c>
    </row>
    <row r="17">
      <c r="A17" s="30">
        <v>1.7</v>
      </c>
      <c r="B17" s="30">
        <v>39.0</v>
      </c>
    </row>
    <row r="19">
      <c r="A19" s="28" t="s">
        <v>80</v>
      </c>
      <c r="B19" s="11" t="s">
        <v>81</v>
      </c>
    </row>
    <row r="20">
      <c r="A20" s="28" t="s">
        <v>82</v>
      </c>
      <c r="B20" s="30">
        <v>0.5424</v>
      </c>
    </row>
    <row r="21">
      <c r="A21" s="28" t="s">
        <v>83</v>
      </c>
      <c r="B21" s="30">
        <v>0.4859</v>
      </c>
    </row>
    <row r="22">
      <c r="A22" s="28" t="s">
        <v>84</v>
      </c>
      <c r="B22" s="11" t="s">
        <v>76</v>
      </c>
    </row>
    <row r="23">
      <c r="A23" s="28" t="s">
        <v>85</v>
      </c>
      <c r="B23" s="11" t="s">
        <v>76</v>
      </c>
    </row>
    <row r="24">
      <c r="A24" s="28" t="s">
        <v>86</v>
      </c>
      <c r="B24" s="30">
        <v>16.0</v>
      </c>
    </row>
    <row r="25">
      <c r="A25" s="28" t="s">
        <v>87</v>
      </c>
      <c r="B25" s="30">
        <v>1.0</v>
      </c>
    </row>
    <row r="27">
      <c r="A27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9.38"/>
  </cols>
  <sheetData>
    <row r="1">
      <c r="A1" s="34" t="s">
        <v>3</v>
      </c>
      <c r="B1" s="34" t="s">
        <v>25</v>
      </c>
    </row>
    <row r="2">
      <c r="A2" s="30">
        <v>0.0</v>
      </c>
      <c r="B2" s="30">
        <v>26.0</v>
      </c>
    </row>
    <row r="3">
      <c r="A3" s="30">
        <v>0.0</v>
      </c>
      <c r="B3" s="30">
        <v>27.5</v>
      </c>
    </row>
    <row r="4">
      <c r="A4" s="30">
        <v>0.0</v>
      </c>
      <c r="B4" s="30">
        <v>55.0</v>
      </c>
    </row>
    <row r="5">
      <c r="A5" s="30">
        <v>0.0</v>
      </c>
      <c r="B5" s="30">
        <v>65.0</v>
      </c>
    </row>
    <row r="6">
      <c r="A6" s="30">
        <v>0.1</v>
      </c>
      <c r="B6" s="30">
        <v>90.0</v>
      </c>
    </row>
    <row r="7">
      <c r="A7" s="30">
        <v>0.0</v>
      </c>
      <c r="B7" s="30">
        <v>100.0</v>
      </c>
    </row>
    <row r="8">
      <c r="A8" s="30">
        <v>0.1</v>
      </c>
      <c r="B8" s="30">
        <v>45.5</v>
      </c>
    </row>
    <row r="9">
      <c r="A9" s="30">
        <v>0.1</v>
      </c>
      <c r="B9" s="30">
        <v>30.0</v>
      </c>
    </row>
    <row r="10">
      <c r="A10" s="30">
        <v>0.0</v>
      </c>
      <c r="B10" s="30">
        <v>30.0</v>
      </c>
    </row>
    <row r="11">
      <c r="A11" s="30">
        <v>0.2</v>
      </c>
      <c r="B11" s="30">
        <v>65.0</v>
      </c>
    </row>
    <row r="12">
      <c r="A12" s="30">
        <v>0.2</v>
      </c>
      <c r="B12" s="30">
        <v>65.0</v>
      </c>
    </row>
    <row r="13">
      <c r="A13" s="30">
        <v>0.0</v>
      </c>
      <c r="B13" s="30">
        <v>90.0</v>
      </c>
    </row>
    <row r="14">
      <c r="A14" s="30">
        <v>0.0</v>
      </c>
      <c r="B14" s="30">
        <v>70.0</v>
      </c>
    </row>
    <row r="15">
      <c r="A15" s="30">
        <v>0.1</v>
      </c>
      <c r="B15" s="30">
        <v>75.0</v>
      </c>
    </row>
    <row r="16">
      <c r="A16" s="30">
        <v>0.0</v>
      </c>
      <c r="B16" s="30">
        <v>39.0</v>
      </c>
    </row>
    <row r="18">
      <c r="A18" s="28" t="s">
        <v>80</v>
      </c>
      <c r="B18" s="11" t="s">
        <v>88</v>
      </c>
    </row>
    <row r="19">
      <c r="A19" s="28" t="s">
        <v>82</v>
      </c>
      <c r="B19" s="30">
        <v>0.1366</v>
      </c>
    </row>
    <row r="20">
      <c r="A20" s="28" t="s">
        <v>83</v>
      </c>
      <c r="B20" s="30">
        <v>0.1579</v>
      </c>
    </row>
    <row r="21">
      <c r="A21" s="28" t="s">
        <v>84</v>
      </c>
      <c r="B21" s="11" t="s">
        <v>77</v>
      </c>
    </row>
    <row r="22">
      <c r="A22" s="28" t="s">
        <v>85</v>
      </c>
      <c r="B22" s="11" t="s">
        <v>77</v>
      </c>
    </row>
    <row r="23">
      <c r="A23" s="28" t="s">
        <v>86</v>
      </c>
      <c r="B23" s="30">
        <v>15.0</v>
      </c>
    </row>
    <row r="24">
      <c r="A24" s="28" t="s">
        <v>87</v>
      </c>
      <c r="B24" s="30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9.0"/>
  </cols>
  <sheetData>
    <row r="1">
      <c r="A1" s="34" t="s">
        <v>11</v>
      </c>
      <c r="B1" s="34" t="s">
        <v>25</v>
      </c>
    </row>
    <row r="2">
      <c r="A2" s="30">
        <v>1.1</v>
      </c>
      <c r="B2" s="30">
        <v>26.0</v>
      </c>
    </row>
    <row r="3">
      <c r="A3" s="30">
        <v>0.4</v>
      </c>
      <c r="B3" s="30">
        <v>27.5</v>
      </c>
    </row>
    <row r="4">
      <c r="A4" s="30">
        <v>1.2</v>
      </c>
      <c r="B4" s="30">
        <v>55.0</v>
      </c>
    </row>
    <row r="5">
      <c r="A5" s="30">
        <v>0.0</v>
      </c>
      <c r="B5" s="30">
        <v>65.0</v>
      </c>
    </row>
    <row r="6">
      <c r="A6" s="30">
        <v>0.0</v>
      </c>
      <c r="B6" s="30">
        <v>90.0</v>
      </c>
    </row>
    <row r="7">
      <c r="A7" s="30">
        <v>0.0</v>
      </c>
      <c r="B7" s="30">
        <v>100.0</v>
      </c>
    </row>
    <row r="8">
      <c r="A8" s="30">
        <v>2.4</v>
      </c>
      <c r="B8" s="30">
        <v>52.0</v>
      </c>
    </row>
    <row r="9">
      <c r="A9" s="30">
        <v>3.4</v>
      </c>
      <c r="B9" s="30">
        <v>45.5</v>
      </c>
    </row>
    <row r="10">
      <c r="A10" s="30">
        <v>3.4</v>
      </c>
      <c r="B10" s="30">
        <v>30.0</v>
      </c>
    </row>
    <row r="11">
      <c r="A11" s="30">
        <v>1.2</v>
      </c>
      <c r="B11" s="30">
        <v>30.0</v>
      </c>
    </row>
    <row r="12">
      <c r="A12" s="30">
        <v>2.1</v>
      </c>
      <c r="B12" s="30">
        <v>65.0</v>
      </c>
    </row>
    <row r="13">
      <c r="A13" s="30">
        <v>4.9</v>
      </c>
      <c r="B13" s="30">
        <v>90.0</v>
      </c>
    </row>
    <row r="14">
      <c r="A14" s="30">
        <v>0.7</v>
      </c>
      <c r="B14" s="30">
        <v>70.0</v>
      </c>
    </row>
    <row r="15">
      <c r="A15" s="30">
        <v>2.8</v>
      </c>
      <c r="B15" s="30">
        <v>75.0</v>
      </c>
    </row>
    <row r="16">
      <c r="A16" s="30">
        <v>3.2</v>
      </c>
      <c r="B16" s="30">
        <v>39.0</v>
      </c>
    </row>
    <row r="18">
      <c r="A18" s="28" t="s">
        <v>80</v>
      </c>
      <c r="B18" s="11" t="s">
        <v>89</v>
      </c>
    </row>
    <row r="19">
      <c r="A19" s="28" t="s">
        <v>82</v>
      </c>
      <c r="B19" s="30">
        <v>-0.1001</v>
      </c>
    </row>
    <row r="20">
      <c r="A20" s="28" t="s">
        <v>83</v>
      </c>
      <c r="B20" s="30">
        <v>-0.1818</v>
      </c>
    </row>
    <row r="21">
      <c r="A21" s="28" t="s">
        <v>84</v>
      </c>
      <c r="B21" s="11" t="s">
        <v>77</v>
      </c>
    </row>
    <row r="22">
      <c r="A22" s="28" t="s">
        <v>85</v>
      </c>
      <c r="B22" s="11" t="s">
        <v>77</v>
      </c>
    </row>
    <row r="23">
      <c r="A23" s="28" t="s">
        <v>86</v>
      </c>
      <c r="B23" s="30">
        <v>15.0</v>
      </c>
    </row>
    <row r="24">
      <c r="A24" s="28" t="s">
        <v>87</v>
      </c>
      <c r="B24" s="30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9.0"/>
  </cols>
  <sheetData>
    <row r="1">
      <c r="A1" s="34" t="s">
        <v>9</v>
      </c>
      <c r="B1" s="34" t="s">
        <v>25</v>
      </c>
    </row>
    <row r="2">
      <c r="A2" s="30">
        <v>0.2</v>
      </c>
      <c r="B2" s="30">
        <v>26.0</v>
      </c>
    </row>
    <row r="3">
      <c r="A3" s="30">
        <v>0.1</v>
      </c>
      <c r="B3" s="30">
        <v>27.5</v>
      </c>
    </row>
    <row r="4">
      <c r="A4" s="30">
        <v>0.1</v>
      </c>
      <c r="B4" s="30">
        <v>55.0</v>
      </c>
    </row>
    <row r="5">
      <c r="A5" s="30">
        <v>0.0</v>
      </c>
      <c r="B5" s="30">
        <v>65.0</v>
      </c>
    </row>
    <row r="6">
      <c r="A6" s="30">
        <v>0.0</v>
      </c>
      <c r="B6" s="30">
        <v>90.0</v>
      </c>
    </row>
    <row r="7">
      <c r="A7" s="30">
        <v>0.0</v>
      </c>
      <c r="B7" s="30">
        <v>100.0</v>
      </c>
    </row>
    <row r="8">
      <c r="A8" s="30">
        <v>0.2</v>
      </c>
      <c r="B8" s="30">
        <v>52.0</v>
      </c>
    </row>
    <row r="9">
      <c r="A9" s="30">
        <v>0.2</v>
      </c>
      <c r="B9" s="30">
        <v>45.5</v>
      </c>
    </row>
    <row r="10">
      <c r="A10" s="30">
        <v>0.5</v>
      </c>
      <c r="B10" s="30">
        <v>30.0</v>
      </c>
    </row>
    <row r="11">
      <c r="A11" s="30">
        <v>0.1</v>
      </c>
      <c r="B11" s="30">
        <v>30.0</v>
      </c>
    </row>
    <row r="12">
      <c r="A12" s="30">
        <v>0.5</v>
      </c>
      <c r="B12" s="30">
        <v>65.0</v>
      </c>
    </row>
    <row r="13">
      <c r="A13" s="30">
        <v>0.8</v>
      </c>
      <c r="B13" s="30">
        <v>65.0</v>
      </c>
    </row>
    <row r="14">
      <c r="A14" s="30">
        <v>0.2</v>
      </c>
      <c r="B14" s="30">
        <v>70.0</v>
      </c>
    </row>
    <row r="15">
      <c r="A15" s="30">
        <v>0.6</v>
      </c>
      <c r="B15" s="30">
        <v>75.0</v>
      </c>
    </row>
    <row r="16">
      <c r="A16" s="30">
        <v>0.3</v>
      </c>
      <c r="B16" s="30">
        <v>39.0</v>
      </c>
    </row>
    <row r="18">
      <c r="A18" s="28" t="s">
        <v>80</v>
      </c>
      <c r="B18" s="11" t="s">
        <v>90</v>
      </c>
    </row>
    <row r="19">
      <c r="A19" s="28" t="s">
        <v>82</v>
      </c>
      <c r="B19" s="30">
        <v>-0.0694</v>
      </c>
    </row>
    <row r="20">
      <c r="A20" s="28" t="s">
        <v>83</v>
      </c>
      <c r="B20" s="30">
        <v>-0.1378</v>
      </c>
    </row>
    <row r="21">
      <c r="A21" s="28" t="s">
        <v>84</v>
      </c>
      <c r="B21" s="11" t="s">
        <v>77</v>
      </c>
    </row>
    <row r="22">
      <c r="A22" s="28" t="s">
        <v>85</v>
      </c>
      <c r="B22" s="11" t="s">
        <v>77</v>
      </c>
    </row>
    <row r="23">
      <c r="A23" s="28" t="s">
        <v>86</v>
      </c>
      <c r="B23" s="30">
        <v>15.0</v>
      </c>
    </row>
    <row r="24">
      <c r="A24" s="28" t="s">
        <v>87</v>
      </c>
      <c r="B24" s="30">
        <v>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9.38"/>
  </cols>
  <sheetData>
    <row r="1">
      <c r="A1" s="34" t="s">
        <v>15</v>
      </c>
      <c r="B1" s="34" t="s">
        <v>25</v>
      </c>
    </row>
    <row r="2">
      <c r="A2" s="30">
        <v>0.0</v>
      </c>
      <c r="B2" s="30">
        <v>26.0</v>
      </c>
    </row>
    <row r="3">
      <c r="A3" s="30">
        <v>0.0</v>
      </c>
      <c r="B3" s="30">
        <v>27.5</v>
      </c>
    </row>
    <row r="4">
      <c r="A4" s="30">
        <v>0.0</v>
      </c>
      <c r="B4" s="30">
        <v>55.0</v>
      </c>
    </row>
    <row r="5">
      <c r="A5" s="30">
        <v>0.0</v>
      </c>
      <c r="B5" s="30">
        <v>65.0</v>
      </c>
    </row>
    <row r="6">
      <c r="A6" s="30">
        <v>0.1</v>
      </c>
      <c r="B6" s="30">
        <v>90.0</v>
      </c>
    </row>
    <row r="7">
      <c r="A7" s="30">
        <v>0.0</v>
      </c>
      <c r="B7" s="30">
        <v>100.0</v>
      </c>
    </row>
    <row r="8">
      <c r="A8" s="30">
        <v>0.3</v>
      </c>
      <c r="B8" s="30">
        <v>52.0</v>
      </c>
    </row>
    <row r="9">
      <c r="A9" s="30">
        <v>0.1</v>
      </c>
      <c r="B9" s="30">
        <v>45.5</v>
      </c>
    </row>
    <row r="10">
      <c r="A10" s="30">
        <v>0.1</v>
      </c>
      <c r="B10" s="30">
        <v>30.0</v>
      </c>
    </row>
    <row r="11">
      <c r="A11" s="30">
        <v>0.0</v>
      </c>
      <c r="B11" s="30">
        <v>30.0</v>
      </c>
    </row>
    <row r="12">
      <c r="A12" s="30">
        <v>0.2</v>
      </c>
      <c r="B12" s="30">
        <v>65.0</v>
      </c>
    </row>
    <row r="13">
      <c r="A13" s="30">
        <v>0.2</v>
      </c>
      <c r="B13" s="30">
        <v>65.0</v>
      </c>
    </row>
    <row r="14">
      <c r="A14" s="30">
        <v>0.0</v>
      </c>
      <c r="B14" s="30">
        <v>90.0</v>
      </c>
    </row>
    <row r="15">
      <c r="A15" s="30">
        <v>0.0</v>
      </c>
      <c r="B15" s="30">
        <v>70.0</v>
      </c>
    </row>
    <row r="16">
      <c r="A16" s="30">
        <v>0.2</v>
      </c>
      <c r="B16" s="30">
        <v>75.0</v>
      </c>
    </row>
    <row r="17">
      <c r="A17" s="30">
        <v>0.1</v>
      </c>
      <c r="B17" s="30">
        <v>39.0</v>
      </c>
    </row>
    <row r="19">
      <c r="A19" s="28" t="s">
        <v>80</v>
      </c>
      <c r="B19" s="11" t="s">
        <v>91</v>
      </c>
    </row>
    <row r="20">
      <c r="A20" s="28" t="s">
        <v>82</v>
      </c>
      <c r="B20" s="30">
        <v>0.0541</v>
      </c>
    </row>
    <row r="21">
      <c r="A21" s="28" t="s">
        <v>83</v>
      </c>
      <c r="B21" s="30">
        <v>0.0766</v>
      </c>
    </row>
    <row r="22">
      <c r="A22" s="28" t="s">
        <v>84</v>
      </c>
      <c r="B22" s="11" t="s">
        <v>77</v>
      </c>
    </row>
    <row r="23">
      <c r="A23" s="28" t="s">
        <v>85</v>
      </c>
      <c r="B23" s="11" t="s">
        <v>77</v>
      </c>
    </row>
    <row r="24">
      <c r="A24" s="28" t="s">
        <v>86</v>
      </c>
      <c r="B24" s="30">
        <v>16.0</v>
      </c>
    </row>
    <row r="25">
      <c r="A25" s="28" t="s">
        <v>87</v>
      </c>
      <c r="B25" s="30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9.0"/>
  </cols>
  <sheetData>
    <row r="1">
      <c r="A1" s="34" t="s">
        <v>17</v>
      </c>
      <c r="B1" s="34" t="s">
        <v>25</v>
      </c>
    </row>
    <row r="2">
      <c r="A2" s="30">
        <v>31.8</v>
      </c>
      <c r="B2" s="30">
        <v>26.0</v>
      </c>
    </row>
    <row r="3">
      <c r="A3" s="30">
        <v>16.1</v>
      </c>
      <c r="B3" s="30">
        <v>27.5</v>
      </c>
    </row>
    <row r="4">
      <c r="A4" s="30">
        <v>17.6</v>
      </c>
      <c r="B4" s="30">
        <v>55.0</v>
      </c>
    </row>
    <row r="5">
      <c r="A5" s="30">
        <v>6.2</v>
      </c>
      <c r="B5" s="30">
        <v>90.0</v>
      </c>
    </row>
    <row r="6">
      <c r="A6" s="30">
        <v>32.3</v>
      </c>
      <c r="B6" s="30">
        <v>100.0</v>
      </c>
    </row>
    <row r="7">
      <c r="A7" s="30">
        <v>37.0</v>
      </c>
      <c r="B7" s="30">
        <v>52.0</v>
      </c>
    </row>
    <row r="8">
      <c r="A8" s="30">
        <v>42.7</v>
      </c>
      <c r="B8" s="30">
        <v>45.5</v>
      </c>
    </row>
    <row r="9">
      <c r="A9" s="30">
        <v>42.3</v>
      </c>
      <c r="B9" s="30">
        <v>30.0</v>
      </c>
    </row>
    <row r="10">
      <c r="A10" s="30">
        <v>26.0</v>
      </c>
      <c r="B10" s="30">
        <v>30.0</v>
      </c>
    </row>
    <row r="11">
      <c r="A11" s="30">
        <v>38.0</v>
      </c>
      <c r="B11" s="30">
        <v>65.0</v>
      </c>
    </row>
    <row r="12">
      <c r="A12" s="30">
        <v>55.9</v>
      </c>
      <c r="B12" s="30">
        <v>65.0</v>
      </c>
    </row>
    <row r="13">
      <c r="A13" s="30">
        <v>47.0</v>
      </c>
      <c r="B13" s="30">
        <v>90.0</v>
      </c>
    </row>
    <row r="14">
      <c r="A14" s="30">
        <v>38.7</v>
      </c>
      <c r="B14" s="30">
        <v>70.0</v>
      </c>
    </row>
    <row r="15">
      <c r="A15" s="30">
        <v>39.4</v>
      </c>
      <c r="B15" s="30">
        <v>75.0</v>
      </c>
    </row>
    <row r="16">
      <c r="A16" s="30">
        <v>64.8</v>
      </c>
      <c r="B16" s="30">
        <v>39.0</v>
      </c>
    </row>
    <row r="18">
      <c r="A18" s="28" t="s">
        <v>80</v>
      </c>
      <c r="B18" s="11" t="s">
        <v>92</v>
      </c>
    </row>
    <row r="19">
      <c r="A19" s="28" t="s">
        <v>82</v>
      </c>
      <c r="B19" s="30">
        <v>-0.0487</v>
      </c>
    </row>
    <row r="20">
      <c r="A20" s="28" t="s">
        <v>83</v>
      </c>
      <c r="B20" s="30">
        <v>0.1021</v>
      </c>
    </row>
    <row r="21">
      <c r="A21" s="28" t="s">
        <v>84</v>
      </c>
      <c r="B21" s="11" t="s">
        <v>77</v>
      </c>
    </row>
    <row r="22">
      <c r="A22" s="28" t="s">
        <v>85</v>
      </c>
      <c r="B22" s="11" t="s">
        <v>77</v>
      </c>
    </row>
    <row r="23">
      <c r="A23" s="28" t="s">
        <v>86</v>
      </c>
      <c r="B23" s="30">
        <v>15.0</v>
      </c>
    </row>
    <row r="24">
      <c r="A24" s="28" t="s">
        <v>87</v>
      </c>
      <c r="B24" s="30">
        <v>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9.0"/>
  </cols>
  <sheetData>
    <row r="1">
      <c r="A1" s="34" t="s">
        <v>19</v>
      </c>
      <c r="B1" s="34" t="s">
        <v>25</v>
      </c>
    </row>
    <row r="2">
      <c r="A2" s="30">
        <v>31.8</v>
      </c>
      <c r="B2" s="30">
        <v>26.0</v>
      </c>
    </row>
    <row r="3">
      <c r="A3" s="30">
        <v>16.1</v>
      </c>
      <c r="B3" s="30">
        <v>27.5</v>
      </c>
    </row>
    <row r="4">
      <c r="A4" s="30">
        <v>17.6</v>
      </c>
      <c r="B4" s="30">
        <v>55.0</v>
      </c>
    </row>
    <row r="5">
      <c r="A5" s="30">
        <v>6.3</v>
      </c>
      <c r="B5" s="30">
        <v>90.0</v>
      </c>
    </row>
    <row r="6">
      <c r="A6" s="30">
        <v>32.3</v>
      </c>
      <c r="B6" s="30">
        <v>100.0</v>
      </c>
    </row>
    <row r="7">
      <c r="A7" s="30">
        <v>37.4</v>
      </c>
      <c r="B7" s="30">
        <v>52.0</v>
      </c>
    </row>
    <row r="8">
      <c r="A8" s="30">
        <v>42.0</v>
      </c>
      <c r="B8" s="30">
        <v>45.5</v>
      </c>
    </row>
    <row r="9">
      <c r="A9" s="30">
        <v>42.4</v>
      </c>
      <c r="B9" s="30">
        <v>30.0</v>
      </c>
    </row>
    <row r="10">
      <c r="A10" s="30">
        <v>26.0</v>
      </c>
      <c r="B10" s="30">
        <v>30.0</v>
      </c>
    </row>
    <row r="11">
      <c r="A11" s="30">
        <v>38.2</v>
      </c>
      <c r="B11" s="30">
        <v>65.0</v>
      </c>
    </row>
    <row r="12">
      <c r="A12" s="30">
        <v>56.1</v>
      </c>
      <c r="B12" s="30">
        <v>65.0</v>
      </c>
    </row>
    <row r="13">
      <c r="A13" s="30">
        <v>47.0</v>
      </c>
      <c r="B13" s="30">
        <v>90.0</v>
      </c>
    </row>
    <row r="14">
      <c r="A14" s="30">
        <v>38.7</v>
      </c>
      <c r="B14" s="30">
        <v>70.0</v>
      </c>
    </row>
    <row r="15">
      <c r="A15" s="30">
        <v>39.6</v>
      </c>
      <c r="B15" s="30">
        <v>75.0</v>
      </c>
    </row>
    <row r="16">
      <c r="A16" s="30">
        <v>64.9</v>
      </c>
      <c r="B16" s="30">
        <v>39.0</v>
      </c>
    </row>
    <row r="18">
      <c r="A18" s="28" t="s">
        <v>80</v>
      </c>
      <c r="B18" s="11" t="s">
        <v>93</v>
      </c>
    </row>
    <row r="19">
      <c r="A19" s="28" t="s">
        <v>82</v>
      </c>
      <c r="B19" s="30">
        <v>-0.0465</v>
      </c>
    </row>
    <row r="20">
      <c r="A20" s="28" t="s">
        <v>83</v>
      </c>
      <c r="B20" s="30">
        <v>0.0931</v>
      </c>
    </row>
    <row r="21">
      <c r="A21" s="28" t="s">
        <v>84</v>
      </c>
      <c r="B21" s="11" t="s">
        <v>77</v>
      </c>
    </row>
    <row r="22">
      <c r="A22" s="28" t="s">
        <v>85</v>
      </c>
      <c r="B22" s="11" t="s">
        <v>77</v>
      </c>
    </row>
    <row r="23">
      <c r="A23" s="28" t="s">
        <v>86</v>
      </c>
      <c r="B23" s="30">
        <v>15.0</v>
      </c>
    </row>
    <row r="24">
      <c r="A24" s="28" t="s">
        <v>87</v>
      </c>
      <c r="B24" s="30">
        <v>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9.0"/>
  </cols>
  <sheetData>
    <row r="1">
      <c r="A1" s="34" t="s">
        <v>7</v>
      </c>
      <c r="B1" s="34" t="s">
        <v>25</v>
      </c>
    </row>
    <row r="2">
      <c r="A2" s="30">
        <v>30.3</v>
      </c>
      <c r="B2" s="30">
        <v>26.0</v>
      </c>
    </row>
    <row r="3">
      <c r="A3" s="30">
        <v>15.1</v>
      </c>
      <c r="B3" s="30">
        <v>27.5</v>
      </c>
    </row>
    <row r="4">
      <c r="A4" s="30">
        <v>14.6</v>
      </c>
      <c r="B4" s="30">
        <v>55.0</v>
      </c>
    </row>
    <row r="5">
      <c r="A5" s="30">
        <v>2.2</v>
      </c>
      <c r="B5" s="30">
        <v>90.0</v>
      </c>
    </row>
    <row r="6">
      <c r="A6" s="30">
        <v>25.1</v>
      </c>
      <c r="B6" s="30">
        <v>100.0</v>
      </c>
    </row>
    <row r="7">
      <c r="A7" s="30">
        <v>29.4</v>
      </c>
      <c r="B7" s="30">
        <v>52.0</v>
      </c>
    </row>
    <row r="8">
      <c r="A8" s="30">
        <v>37.0</v>
      </c>
      <c r="B8" s="30">
        <v>45.5</v>
      </c>
    </row>
    <row r="9">
      <c r="A9" s="30">
        <v>35.6</v>
      </c>
      <c r="B9" s="30">
        <v>30.0</v>
      </c>
    </row>
    <row r="10">
      <c r="A10" s="30">
        <v>22.4</v>
      </c>
      <c r="B10" s="30">
        <v>30.0</v>
      </c>
    </row>
    <row r="11">
      <c r="A11" s="30">
        <v>32.7</v>
      </c>
      <c r="B11" s="30">
        <v>65.0</v>
      </c>
    </row>
    <row r="12">
      <c r="A12" s="30">
        <v>41.8</v>
      </c>
      <c r="B12" s="30">
        <v>65.0</v>
      </c>
    </row>
    <row r="13">
      <c r="A13" s="30">
        <v>38.2</v>
      </c>
      <c r="B13" s="30">
        <v>90.0</v>
      </c>
    </row>
    <row r="14">
      <c r="A14" s="30">
        <v>33.8</v>
      </c>
      <c r="B14" s="30">
        <v>70.0</v>
      </c>
    </row>
    <row r="15">
      <c r="A15" s="30">
        <v>34.8</v>
      </c>
      <c r="B15" s="30">
        <v>75.0</v>
      </c>
    </row>
    <row r="17">
      <c r="A17" s="28" t="s">
        <v>80</v>
      </c>
      <c r="B17" s="11" t="s">
        <v>94</v>
      </c>
    </row>
    <row r="18">
      <c r="A18" s="28" t="s">
        <v>82</v>
      </c>
      <c r="B18" s="30">
        <v>-0.0345</v>
      </c>
    </row>
    <row r="19">
      <c r="A19" s="28" t="s">
        <v>83</v>
      </c>
      <c r="B19" s="30">
        <v>0.0882</v>
      </c>
    </row>
    <row r="20">
      <c r="A20" s="28" t="s">
        <v>84</v>
      </c>
      <c r="B20" s="11" t="s">
        <v>77</v>
      </c>
    </row>
    <row r="21">
      <c r="A21" s="28" t="s">
        <v>85</v>
      </c>
      <c r="B21" s="11" t="s">
        <v>77</v>
      </c>
    </row>
    <row r="22">
      <c r="A22" s="28" t="s">
        <v>86</v>
      </c>
      <c r="B22" s="30">
        <v>14.0</v>
      </c>
    </row>
    <row r="23">
      <c r="A23" s="28" t="s">
        <v>87</v>
      </c>
      <c r="B23" s="30">
        <v>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9.0"/>
  </cols>
  <sheetData>
    <row r="1">
      <c r="A1" s="34" t="s">
        <v>5</v>
      </c>
      <c r="B1" s="34" t="s">
        <v>25</v>
      </c>
    </row>
    <row r="2">
      <c r="A2" s="30">
        <v>0.0</v>
      </c>
      <c r="B2" s="30">
        <v>26.0</v>
      </c>
    </row>
    <row r="3">
      <c r="A3" s="30">
        <v>0.0</v>
      </c>
      <c r="B3" s="30">
        <v>27.5</v>
      </c>
    </row>
    <row r="4">
      <c r="A4" s="30">
        <v>0.0</v>
      </c>
      <c r="B4" s="30">
        <v>55.0</v>
      </c>
    </row>
    <row r="5">
      <c r="A5" s="30">
        <v>0.0</v>
      </c>
      <c r="B5" s="30">
        <v>65.0</v>
      </c>
    </row>
    <row r="6">
      <c r="A6" s="30">
        <v>0.0</v>
      </c>
      <c r="B6" s="30">
        <v>90.0</v>
      </c>
    </row>
    <row r="7">
      <c r="A7" s="30">
        <v>0.0</v>
      </c>
      <c r="B7" s="30">
        <v>100.0</v>
      </c>
    </row>
    <row r="8">
      <c r="A8" s="30">
        <v>0.0</v>
      </c>
      <c r="B8" s="30">
        <v>52.0</v>
      </c>
    </row>
    <row r="9">
      <c r="A9" s="30">
        <v>0.0</v>
      </c>
      <c r="B9" s="30">
        <v>45.5</v>
      </c>
    </row>
    <row r="10">
      <c r="A10" s="30">
        <v>0.0</v>
      </c>
      <c r="B10" s="30">
        <v>30.0</v>
      </c>
    </row>
    <row r="11">
      <c r="A11" s="30">
        <v>0.0</v>
      </c>
      <c r="B11" s="30">
        <v>30.0</v>
      </c>
    </row>
    <row r="12">
      <c r="A12" s="30">
        <v>0.0</v>
      </c>
      <c r="B12" s="30">
        <v>65.0</v>
      </c>
    </row>
    <row r="13">
      <c r="A13" s="30">
        <v>0.0</v>
      </c>
      <c r="B13" s="30">
        <v>65.0</v>
      </c>
    </row>
    <row r="14">
      <c r="A14" s="30">
        <v>0.0</v>
      </c>
      <c r="B14" s="30">
        <v>90.0</v>
      </c>
    </row>
    <row r="15">
      <c r="A15" s="30">
        <v>0.0</v>
      </c>
      <c r="B15" s="30">
        <v>70.0</v>
      </c>
    </row>
    <row r="17">
      <c r="A17" s="28" t="s">
        <v>80</v>
      </c>
      <c r="B17" s="11" t="s">
        <v>78</v>
      </c>
    </row>
    <row r="18">
      <c r="A18" s="28" t="s">
        <v>82</v>
      </c>
      <c r="B18" s="11" t="s">
        <v>78</v>
      </c>
    </row>
    <row r="19">
      <c r="A19" s="28" t="s">
        <v>83</v>
      </c>
      <c r="B19" s="11" t="s">
        <v>78</v>
      </c>
    </row>
    <row r="20">
      <c r="A20" s="28" t="s">
        <v>84</v>
      </c>
      <c r="B20" s="11" t="s">
        <v>79</v>
      </c>
    </row>
    <row r="21">
      <c r="A21" s="28" t="s">
        <v>85</v>
      </c>
      <c r="B21" s="11" t="s">
        <v>79</v>
      </c>
    </row>
    <row r="22">
      <c r="A22" s="28" t="s">
        <v>86</v>
      </c>
      <c r="B22" s="30">
        <v>14.0</v>
      </c>
    </row>
    <row r="23">
      <c r="A23" s="28" t="s">
        <v>87</v>
      </c>
      <c r="B23" s="30">
        <v>3.0</v>
      </c>
    </row>
  </sheetData>
  <drawing r:id="rId1"/>
</worksheet>
</file>